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0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MC 2.0\Excel Beginners to Advance\Practice Files\Module - 5 - Lookup Formulas\"/>
    </mc:Choice>
  </mc:AlternateContent>
  <xr:revisionPtr revIDLastSave="0" documentId="13_ncr:1_{B214C691-B489-4FBB-B439-5AD5CFDF9307}" xr6:coauthVersionLast="47" xr6:coauthVersionMax="47" xr10:uidLastSave="{00000000-0000-0000-0000-000000000000}"/>
  <bookViews>
    <workbookView xWindow="22932" yWindow="-108" windowWidth="23256" windowHeight="13176" xr2:uid="{00000000-000D-0000-FFFF-FFFF00000000}"/>
  </bookViews>
  <sheets>
    <sheet name="Xlookup 1" sheetId="1" r:id="rId1"/>
    <sheet name="Xlookup Dynamic" sheetId="2" r:id="rId2"/>
    <sheet name="Xlookup - IF NOT FOUND" sheetId="3" r:id="rId3"/>
    <sheet name="MatchType" sheetId="4" r:id="rId4"/>
    <sheet name="Search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F4" i="5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3" i="4"/>
  <c r="J7" i="3"/>
  <c r="J5" i="3"/>
  <c r="K6" i="2" a="1"/>
  <c r="K6" i="2" s="1"/>
  <c r="K7" i="2" a="1"/>
  <c r="K7" i="2" s="1"/>
  <c r="K8" i="2" a="1"/>
  <c r="K8" i="2" s="1"/>
  <c r="K9" i="2" a="1"/>
  <c r="K9" i="2" s="1"/>
  <c r="K10" i="2" a="1"/>
  <c r="K10" i="2" s="1"/>
  <c r="K5" i="2" a="1"/>
  <c r="K5" i="2" s="1"/>
  <c r="J13" i="2" a="1"/>
  <c r="J13" i="2" s="1"/>
  <c r="K6" i="1"/>
  <c r="K5" i="1"/>
  <c r="K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<sst xmlns="http://schemas.openxmlformats.org/spreadsheetml/2006/main" count="3088" uniqueCount="445">
  <si>
    <t>Customer Name</t>
  </si>
  <si>
    <t>Account Number</t>
  </si>
  <si>
    <t>Balance (INR)</t>
  </si>
  <si>
    <t>City</t>
  </si>
  <si>
    <t>Account Type</t>
  </si>
  <si>
    <t>Email</t>
  </si>
  <si>
    <t>Phone Number</t>
  </si>
  <si>
    <t>Aarav Sharma</t>
  </si>
  <si>
    <t>Ananya Singh</t>
  </si>
  <si>
    <t>Vivaan Kumar</t>
  </si>
  <si>
    <t>Diya Gupta</t>
  </si>
  <si>
    <t>Ishaan Joshi</t>
  </si>
  <si>
    <t>Kiara Verma</t>
  </si>
  <si>
    <t>Rohan Patel</t>
  </si>
  <si>
    <t>Meera Nair</t>
  </si>
  <si>
    <t>Aditya Malhotra</t>
  </si>
  <si>
    <t>Saanvi Deshmukh</t>
  </si>
  <si>
    <t>Mumbai</t>
  </si>
  <si>
    <t>Delhi</t>
  </si>
  <si>
    <t>Bangalore</t>
  </si>
  <si>
    <t>Pune</t>
  </si>
  <si>
    <t>Hyderabad</t>
  </si>
  <si>
    <t>Chennai</t>
  </si>
  <si>
    <t>Ahmedabad</t>
  </si>
  <si>
    <t>Kolkata</t>
  </si>
  <si>
    <t>Surat</t>
  </si>
  <si>
    <t>Jaipur</t>
  </si>
  <si>
    <t>Savings</t>
  </si>
  <si>
    <t>Current</t>
  </si>
  <si>
    <t>customer1@email.com</t>
  </si>
  <si>
    <t>customer2@email.com</t>
  </si>
  <si>
    <t>customer3@email.com</t>
  </si>
  <si>
    <t>customer4@email.com</t>
  </si>
  <si>
    <t>customer5@email.com</t>
  </si>
  <si>
    <t>customer6@email.com</t>
  </si>
  <si>
    <t>customer7@email.com</t>
  </si>
  <si>
    <t>customer8@email.com</t>
  </si>
  <si>
    <t>customer9@email.com</t>
  </si>
  <si>
    <t>customer10@email.com</t>
  </si>
  <si>
    <t>customer11@email.com</t>
  </si>
  <si>
    <t>customer12@email.com</t>
  </si>
  <si>
    <t>customer13@email.com</t>
  </si>
  <si>
    <t>customer14@email.com</t>
  </si>
  <si>
    <t>customer15@email.com</t>
  </si>
  <si>
    <t>customer16@email.com</t>
  </si>
  <si>
    <t>customer17@email.com</t>
  </si>
  <si>
    <t>customer18@email.com</t>
  </si>
  <si>
    <t>customer19@email.com</t>
  </si>
  <si>
    <t>customer20@email.com</t>
  </si>
  <si>
    <t>customer21@email.com</t>
  </si>
  <si>
    <t>customer22@email.com</t>
  </si>
  <si>
    <t>customer23@email.com</t>
  </si>
  <si>
    <t>customer24@email.com</t>
  </si>
  <si>
    <t>customer25@email.com</t>
  </si>
  <si>
    <t>customer26@email.com</t>
  </si>
  <si>
    <t>customer27@email.com</t>
  </si>
  <si>
    <t>customer28@email.com</t>
  </si>
  <si>
    <t>customer29@email.com</t>
  </si>
  <si>
    <t>customer30@email.com</t>
  </si>
  <si>
    <t>customer31@email.com</t>
  </si>
  <si>
    <t>customer32@email.com</t>
  </si>
  <si>
    <t>customer33@email.com</t>
  </si>
  <si>
    <t>customer34@email.com</t>
  </si>
  <si>
    <t>customer35@email.com</t>
  </si>
  <si>
    <t>customer36@email.com</t>
  </si>
  <si>
    <t>customer37@email.com</t>
  </si>
  <si>
    <t>customer38@email.com</t>
  </si>
  <si>
    <t>customer39@email.com</t>
  </si>
  <si>
    <t>customer40@email.com</t>
  </si>
  <si>
    <t>customer41@email.com</t>
  </si>
  <si>
    <t>customer42@email.com</t>
  </si>
  <si>
    <t>customer43@email.com</t>
  </si>
  <si>
    <t>customer44@email.com</t>
  </si>
  <si>
    <t>customer45@email.com</t>
  </si>
  <si>
    <t>customer46@email.com</t>
  </si>
  <si>
    <t>customer47@email.com</t>
  </si>
  <si>
    <t>customer48@email.com</t>
  </si>
  <si>
    <t>customer49@email.com</t>
  </si>
  <si>
    <t>customer50@email.com</t>
  </si>
  <si>
    <t>customer51@email.com</t>
  </si>
  <si>
    <t>customer52@email.com</t>
  </si>
  <si>
    <t>customer53@email.com</t>
  </si>
  <si>
    <t>customer54@email.com</t>
  </si>
  <si>
    <t>customer55@email.com</t>
  </si>
  <si>
    <t>customer56@email.com</t>
  </si>
  <si>
    <t>customer57@email.com</t>
  </si>
  <si>
    <t>customer58@email.com</t>
  </si>
  <si>
    <t>customer59@email.com</t>
  </si>
  <si>
    <t>customer60@email.com</t>
  </si>
  <si>
    <t>customer61@email.com</t>
  </si>
  <si>
    <t>customer62@email.com</t>
  </si>
  <si>
    <t>customer63@email.com</t>
  </si>
  <si>
    <t>customer64@email.com</t>
  </si>
  <si>
    <t>customer65@email.com</t>
  </si>
  <si>
    <t>customer66@email.com</t>
  </si>
  <si>
    <t>customer67@email.com</t>
  </si>
  <si>
    <t>customer68@email.com</t>
  </si>
  <si>
    <t>customer69@email.com</t>
  </si>
  <si>
    <t>customer70@email.com</t>
  </si>
  <si>
    <t>customer71@email.com</t>
  </si>
  <si>
    <t>customer72@email.com</t>
  </si>
  <si>
    <t>customer73@email.com</t>
  </si>
  <si>
    <t>customer74@email.com</t>
  </si>
  <si>
    <t>customer75@email.com</t>
  </si>
  <si>
    <t>customer76@email.com</t>
  </si>
  <si>
    <t>customer77@email.com</t>
  </si>
  <si>
    <t>customer78@email.com</t>
  </si>
  <si>
    <t>customer79@email.com</t>
  </si>
  <si>
    <t>customer80@email.com</t>
  </si>
  <si>
    <t>customer81@email.com</t>
  </si>
  <si>
    <t>customer82@email.com</t>
  </si>
  <si>
    <t>customer83@email.com</t>
  </si>
  <si>
    <t>customer84@email.com</t>
  </si>
  <si>
    <t>customer85@email.com</t>
  </si>
  <si>
    <t>customer86@email.com</t>
  </si>
  <si>
    <t>customer87@email.com</t>
  </si>
  <si>
    <t>customer88@email.com</t>
  </si>
  <si>
    <t>customer89@email.com</t>
  </si>
  <si>
    <t>customer90@email.com</t>
  </si>
  <si>
    <t>customer91@email.com</t>
  </si>
  <si>
    <t>customer92@email.com</t>
  </si>
  <si>
    <t>customer93@email.com</t>
  </si>
  <si>
    <t>customer94@email.com</t>
  </si>
  <si>
    <t>customer95@email.com</t>
  </si>
  <si>
    <t>customer96@email.com</t>
  </si>
  <si>
    <t>customer97@email.com</t>
  </si>
  <si>
    <t>customer98@email.com</t>
  </si>
  <si>
    <t>customer99@email.com</t>
  </si>
  <si>
    <t>customer100@email.com</t>
  </si>
  <si>
    <t>customer101@email.com</t>
  </si>
  <si>
    <t>customer102@email.com</t>
  </si>
  <si>
    <t>customer103@email.com</t>
  </si>
  <si>
    <t>customer104@email.com</t>
  </si>
  <si>
    <t>customer105@email.com</t>
  </si>
  <si>
    <t>customer106@email.com</t>
  </si>
  <si>
    <t>customer107@email.com</t>
  </si>
  <si>
    <t>customer108@email.com</t>
  </si>
  <si>
    <t>customer109@email.com</t>
  </si>
  <si>
    <t>customer110@email.com</t>
  </si>
  <si>
    <t>customer111@email.com</t>
  </si>
  <si>
    <t>customer112@email.com</t>
  </si>
  <si>
    <t>customer113@email.com</t>
  </si>
  <si>
    <t>customer114@email.com</t>
  </si>
  <si>
    <t>customer115@email.com</t>
  </si>
  <si>
    <t>customer116@email.com</t>
  </si>
  <si>
    <t>customer117@email.com</t>
  </si>
  <si>
    <t>customer118@email.com</t>
  </si>
  <si>
    <t>customer119@email.com</t>
  </si>
  <si>
    <t>customer120@email.com</t>
  </si>
  <si>
    <t>customer121@email.com</t>
  </si>
  <si>
    <t>customer122@email.com</t>
  </si>
  <si>
    <t>customer123@email.com</t>
  </si>
  <si>
    <t>customer124@email.com</t>
  </si>
  <si>
    <t>customer125@email.com</t>
  </si>
  <si>
    <t>customer126@email.com</t>
  </si>
  <si>
    <t>customer127@email.com</t>
  </si>
  <si>
    <t>customer128@email.com</t>
  </si>
  <si>
    <t>customer129@email.com</t>
  </si>
  <si>
    <t>customer130@email.com</t>
  </si>
  <si>
    <t>customer131@email.com</t>
  </si>
  <si>
    <t>customer132@email.com</t>
  </si>
  <si>
    <t>customer133@email.com</t>
  </si>
  <si>
    <t>customer134@email.com</t>
  </si>
  <si>
    <t>customer135@email.com</t>
  </si>
  <si>
    <t>customer136@email.com</t>
  </si>
  <si>
    <t>customer137@email.com</t>
  </si>
  <si>
    <t>customer138@email.com</t>
  </si>
  <si>
    <t>customer139@email.com</t>
  </si>
  <si>
    <t>customer140@email.com</t>
  </si>
  <si>
    <t>customer141@email.com</t>
  </si>
  <si>
    <t>customer142@email.com</t>
  </si>
  <si>
    <t>customer143@email.com</t>
  </si>
  <si>
    <t>customer144@email.com</t>
  </si>
  <si>
    <t>customer145@email.com</t>
  </si>
  <si>
    <t>customer146@email.com</t>
  </si>
  <si>
    <t>customer147@email.com</t>
  </si>
  <si>
    <t>customer148@email.com</t>
  </si>
  <si>
    <t>customer149@email.com</t>
  </si>
  <si>
    <t>customer150@email.com</t>
  </si>
  <si>
    <t>customer151@email.com</t>
  </si>
  <si>
    <t>customer152@email.com</t>
  </si>
  <si>
    <t>customer153@email.com</t>
  </si>
  <si>
    <t>customer154@email.com</t>
  </si>
  <si>
    <t>customer155@email.com</t>
  </si>
  <si>
    <t>customer156@email.com</t>
  </si>
  <si>
    <t>customer157@email.com</t>
  </si>
  <si>
    <t>customer158@email.com</t>
  </si>
  <si>
    <t>customer159@email.com</t>
  </si>
  <si>
    <t>customer160@email.com</t>
  </si>
  <si>
    <t>customer161@email.com</t>
  </si>
  <si>
    <t>customer162@email.com</t>
  </si>
  <si>
    <t>customer163@email.com</t>
  </si>
  <si>
    <t>customer164@email.com</t>
  </si>
  <si>
    <t>customer165@email.com</t>
  </si>
  <si>
    <t>customer166@email.com</t>
  </si>
  <si>
    <t>customer167@email.com</t>
  </si>
  <si>
    <t>customer168@email.com</t>
  </si>
  <si>
    <t>customer169@email.com</t>
  </si>
  <si>
    <t>customer170@email.com</t>
  </si>
  <si>
    <t>customer171@email.com</t>
  </si>
  <si>
    <t>customer172@email.com</t>
  </si>
  <si>
    <t>customer173@email.com</t>
  </si>
  <si>
    <t>customer174@email.com</t>
  </si>
  <si>
    <t>customer175@email.com</t>
  </si>
  <si>
    <t>customer176@email.com</t>
  </si>
  <si>
    <t>customer177@email.com</t>
  </si>
  <si>
    <t>customer178@email.com</t>
  </si>
  <si>
    <t>customer179@email.com</t>
  </si>
  <si>
    <t>customer180@email.com</t>
  </si>
  <si>
    <t>customer181@email.com</t>
  </si>
  <si>
    <t>customer182@email.com</t>
  </si>
  <si>
    <t>customer183@email.com</t>
  </si>
  <si>
    <t>customer184@email.com</t>
  </si>
  <si>
    <t>customer185@email.com</t>
  </si>
  <si>
    <t>customer186@email.com</t>
  </si>
  <si>
    <t>customer187@email.com</t>
  </si>
  <si>
    <t>customer188@email.com</t>
  </si>
  <si>
    <t>customer189@email.com</t>
  </si>
  <si>
    <t>customer190@email.com</t>
  </si>
  <si>
    <t>customer191@email.com</t>
  </si>
  <si>
    <t>customer192@email.com</t>
  </si>
  <si>
    <t>customer193@email.com</t>
  </si>
  <si>
    <t>customer194@email.com</t>
  </si>
  <si>
    <t>customer195@email.com</t>
  </si>
  <si>
    <t>customer196@email.com</t>
  </si>
  <si>
    <t>customer197@email.com</t>
  </si>
  <si>
    <t>customer198@email.com</t>
  </si>
  <si>
    <t>customer199@email.com</t>
  </si>
  <si>
    <t>customer200@email.com</t>
  </si>
  <si>
    <t>+91-987650000</t>
  </si>
  <si>
    <t>+91-987650001</t>
  </si>
  <si>
    <t>+91-987650002</t>
  </si>
  <si>
    <t>+91-987650003</t>
  </si>
  <si>
    <t>+91-987650004</t>
  </si>
  <si>
    <t>+91-987650005</t>
  </si>
  <si>
    <t>+91-987650006</t>
  </si>
  <si>
    <t>+91-987650007</t>
  </si>
  <si>
    <t>+91-987650008</t>
  </si>
  <si>
    <t>+91-987650009</t>
  </si>
  <si>
    <t>+91-987650010</t>
  </si>
  <si>
    <t>+91-987650011</t>
  </si>
  <si>
    <t>+91-987650012</t>
  </si>
  <si>
    <t>+91-987650013</t>
  </si>
  <si>
    <t>+91-987650014</t>
  </si>
  <si>
    <t>+91-987650015</t>
  </si>
  <si>
    <t>+91-987650016</t>
  </si>
  <si>
    <t>+91-987650017</t>
  </si>
  <si>
    <t>+91-987650018</t>
  </si>
  <si>
    <t>+91-987650019</t>
  </si>
  <si>
    <t>+91-987650020</t>
  </si>
  <si>
    <t>+91-987650021</t>
  </si>
  <si>
    <t>+91-987650022</t>
  </si>
  <si>
    <t>+91-987650023</t>
  </si>
  <si>
    <t>+91-987650024</t>
  </si>
  <si>
    <t>+91-987650025</t>
  </si>
  <si>
    <t>+91-987650026</t>
  </si>
  <si>
    <t>+91-987650027</t>
  </si>
  <si>
    <t>+91-987650028</t>
  </si>
  <si>
    <t>+91-987650029</t>
  </si>
  <si>
    <t>+91-987650030</t>
  </si>
  <si>
    <t>+91-987650031</t>
  </si>
  <si>
    <t>+91-987650032</t>
  </si>
  <si>
    <t>+91-987650033</t>
  </si>
  <si>
    <t>+91-987650034</t>
  </si>
  <si>
    <t>+91-987650035</t>
  </si>
  <si>
    <t>+91-987650036</t>
  </si>
  <si>
    <t>+91-987650037</t>
  </si>
  <si>
    <t>+91-987650038</t>
  </si>
  <si>
    <t>+91-987650039</t>
  </si>
  <si>
    <t>+91-987650040</t>
  </si>
  <si>
    <t>+91-987650041</t>
  </si>
  <si>
    <t>+91-987650042</t>
  </si>
  <si>
    <t>+91-987650043</t>
  </si>
  <si>
    <t>+91-987650044</t>
  </si>
  <si>
    <t>+91-987650045</t>
  </si>
  <si>
    <t>+91-987650046</t>
  </si>
  <si>
    <t>+91-987650047</t>
  </si>
  <si>
    <t>+91-987650048</t>
  </si>
  <si>
    <t>+91-987650049</t>
  </si>
  <si>
    <t>+91-987650050</t>
  </si>
  <si>
    <t>+91-987650051</t>
  </si>
  <si>
    <t>+91-987650052</t>
  </si>
  <si>
    <t>+91-987650053</t>
  </si>
  <si>
    <t>+91-987650054</t>
  </si>
  <si>
    <t>+91-987650055</t>
  </si>
  <si>
    <t>+91-987650056</t>
  </si>
  <si>
    <t>+91-987650057</t>
  </si>
  <si>
    <t>+91-987650058</t>
  </si>
  <si>
    <t>+91-987650059</t>
  </si>
  <si>
    <t>+91-987650060</t>
  </si>
  <si>
    <t>+91-987650061</t>
  </si>
  <si>
    <t>+91-987650062</t>
  </si>
  <si>
    <t>+91-987650063</t>
  </si>
  <si>
    <t>+91-987650064</t>
  </si>
  <si>
    <t>+91-987650065</t>
  </si>
  <si>
    <t>+91-987650066</t>
  </si>
  <si>
    <t>+91-987650067</t>
  </si>
  <si>
    <t>+91-987650068</t>
  </si>
  <si>
    <t>+91-987650069</t>
  </si>
  <si>
    <t>+91-987650070</t>
  </si>
  <si>
    <t>+91-987650071</t>
  </si>
  <si>
    <t>+91-987650072</t>
  </si>
  <si>
    <t>+91-987650073</t>
  </si>
  <si>
    <t>+91-987650074</t>
  </si>
  <si>
    <t>+91-987650075</t>
  </si>
  <si>
    <t>+91-987650076</t>
  </si>
  <si>
    <t>+91-987650077</t>
  </si>
  <si>
    <t>+91-987650078</t>
  </si>
  <si>
    <t>+91-987650079</t>
  </si>
  <si>
    <t>+91-987650080</t>
  </si>
  <si>
    <t>+91-987650081</t>
  </si>
  <si>
    <t>+91-987650082</t>
  </si>
  <si>
    <t>+91-987650083</t>
  </si>
  <si>
    <t>+91-987650084</t>
  </si>
  <si>
    <t>+91-987650085</t>
  </si>
  <si>
    <t>+91-987650086</t>
  </si>
  <si>
    <t>+91-987650087</t>
  </si>
  <si>
    <t>+91-987650088</t>
  </si>
  <si>
    <t>+91-987650089</t>
  </si>
  <si>
    <t>+91-987650090</t>
  </si>
  <si>
    <t>+91-987650091</t>
  </si>
  <si>
    <t>+91-987650092</t>
  </si>
  <si>
    <t>+91-987650093</t>
  </si>
  <si>
    <t>+91-987650094</t>
  </si>
  <si>
    <t>+91-987650095</t>
  </si>
  <si>
    <t>+91-987650096</t>
  </si>
  <si>
    <t>+91-987650097</t>
  </si>
  <si>
    <t>+91-987650098</t>
  </si>
  <si>
    <t>+91-987650099</t>
  </si>
  <si>
    <t>+91-987650100</t>
  </si>
  <si>
    <t>+91-987650101</t>
  </si>
  <si>
    <t>+91-987650102</t>
  </si>
  <si>
    <t>+91-987650103</t>
  </si>
  <si>
    <t>+91-987650104</t>
  </si>
  <si>
    <t>+91-987650105</t>
  </si>
  <si>
    <t>+91-987650106</t>
  </si>
  <si>
    <t>+91-987650107</t>
  </si>
  <si>
    <t>+91-987650108</t>
  </si>
  <si>
    <t>+91-987650109</t>
  </si>
  <si>
    <t>+91-987650110</t>
  </si>
  <si>
    <t>+91-987650111</t>
  </si>
  <si>
    <t>+91-987650112</t>
  </si>
  <si>
    <t>+91-987650113</t>
  </si>
  <si>
    <t>+91-987650114</t>
  </si>
  <si>
    <t>+91-987650115</t>
  </si>
  <si>
    <t>+91-987650116</t>
  </si>
  <si>
    <t>+91-987650117</t>
  </si>
  <si>
    <t>+91-987650118</t>
  </si>
  <si>
    <t>+91-987650119</t>
  </si>
  <si>
    <t>+91-987650120</t>
  </si>
  <si>
    <t>+91-987650121</t>
  </si>
  <si>
    <t>+91-987650122</t>
  </si>
  <si>
    <t>+91-987650123</t>
  </si>
  <si>
    <t>+91-987650124</t>
  </si>
  <si>
    <t>+91-987650125</t>
  </si>
  <si>
    <t>+91-987650126</t>
  </si>
  <si>
    <t>+91-987650127</t>
  </si>
  <si>
    <t>+91-987650128</t>
  </si>
  <si>
    <t>+91-987650129</t>
  </si>
  <si>
    <t>+91-987650130</t>
  </si>
  <si>
    <t>+91-987650131</t>
  </si>
  <si>
    <t>+91-987650132</t>
  </si>
  <si>
    <t>+91-987650133</t>
  </si>
  <si>
    <t>+91-987650134</t>
  </si>
  <si>
    <t>+91-987650135</t>
  </si>
  <si>
    <t>+91-987650136</t>
  </si>
  <si>
    <t>+91-987650137</t>
  </si>
  <si>
    <t>+91-987650138</t>
  </si>
  <si>
    <t>+91-987650139</t>
  </si>
  <si>
    <t>+91-987650140</t>
  </si>
  <si>
    <t>+91-987650141</t>
  </si>
  <si>
    <t>+91-987650142</t>
  </si>
  <si>
    <t>+91-987650143</t>
  </si>
  <si>
    <t>+91-987650144</t>
  </si>
  <si>
    <t>+91-987650145</t>
  </si>
  <si>
    <t>+91-987650146</t>
  </si>
  <si>
    <t>+91-987650147</t>
  </si>
  <si>
    <t>+91-987650148</t>
  </si>
  <si>
    <t>+91-987650149</t>
  </si>
  <si>
    <t>+91-987650150</t>
  </si>
  <si>
    <t>+91-987650151</t>
  </si>
  <si>
    <t>+91-987650152</t>
  </si>
  <si>
    <t>+91-987650153</t>
  </si>
  <si>
    <t>+91-987650154</t>
  </si>
  <si>
    <t>+91-987650155</t>
  </si>
  <si>
    <t>+91-987650156</t>
  </si>
  <si>
    <t>+91-987650157</t>
  </si>
  <si>
    <t>+91-987650158</t>
  </si>
  <si>
    <t>+91-987650159</t>
  </si>
  <si>
    <t>+91-987650160</t>
  </si>
  <si>
    <t>+91-987650161</t>
  </si>
  <si>
    <t>+91-987650162</t>
  </si>
  <si>
    <t>+91-987650163</t>
  </si>
  <si>
    <t>+91-987650164</t>
  </si>
  <si>
    <t>+91-987650165</t>
  </si>
  <si>
    <t>+91-987650166</t>
  </si>
  <si>
    <t>+91-987650167</t>
  </si>
  <si>
    <t>+91-987650168</t>
  </si>
  <si>
    <t>+91-987650169</t>
  </si>
  <si>
    <t>+91-987650170</t>
  </si>
  <si>
    <t>+91-987650171</t>
  </si>
  <si>
    <t>+91-987650172</t>
  </si>
  <si>
    <t>+91-987650173</t>
  </si>
  <si>
    <t>+91-987650174</t>
  </si>
  <si>
    <t>+91-987650175</t>
  </si>
  <si>
    <t>+91-987650176</t>
  </si>
  <si>
    <t>+91-987650177</t>
  </si>
  <si>
    <t>+91-987650178</t>
  </si>
  <si>
    <t>+91-987650179</t>
  </si>
  <si>
    <t>+91-987650180</t>
  </si>
  <si>
    <t>+91-987650181</t>
  </si>
  <si>
    <t>+91-987650182</t>
  </si>
  <si>
    <t>+91-987650183</t>
  </si>
  <si>
    <t>+91-987650184</t>
  </si>
  <si>
    <t>+91-987650185</t>
  </si>
  <si>
    <t>+91-987650186</t>
  </si>
  <si>
    <t>+91-987650187</t>
  </si>
  <si>
    <t>+91-987650188</t>
  </si>
  <si>
    <t>+91-987650189</t>
  </si>
  <si>
    <t>+91-987650190</t>
  </si>
  <si>
    <t>+91-987650191</t>
  </si>
  <si>
    <t>+91-987650192</t>
  </si>
  <si>
    <t>+91-987650193</t>
  </si>
  <si>
    <t>+91-987650194</t>
  </si>
  <si>
    <t>+91-987650195</t>
  </si>
  <si>
    <t>+91-987650196</t>
  </si>
  <si>
    <t>+91-987650197</t>
  </si>
  <si>
    <t>+91-987650198</t>
  </si>
  <si>
    <t>+91-987650199</t>
  </si>
  <si>
    <t>Saving Account</t>
  </si>
  <si>
    <t>Current Account</t>
  </si>
  <si>
    <t>Credit Card Limit</t>
  </si>
  <si>
    <t>Last 3 Months Average Balance</t>
  </si>
  <si>
    <t>Wildcard</t>
  </si>
  <si>
    <t>Ankit Gupta</t>
  </si>
  <si>
    <t>Vinod Singh</t>
  </si>
  <si>
    <t>Vijay Mehta</t>
  </si>
  <si>
    <t>Sayali Pandey</t>
  </si>
  <si>
    <t>Vikas Singh</t>
  </si>
  <si>
    <t>Sohail Khan</t>
  </si>
  <si>
    <t>Rupali Deskmukh</t>
  </si>
  <si>
    <t>Lakshi Gupta</t>
  </si>
  <si>
    <t>Radha Gupta</t>
  </si>
  <si>
    <t>Sanket Mehra</t>
  </si>
  <si>
    <t>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</si>
</sst>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tabSelected="1" zoomScale="115" zoomScaleNormal="115" workbookViewId="0">
      <selection activeCell="E11" sqref="E11"/>
    </sheetView>
  </sheetViews>
  <sheetFormatPr defaultRowHeight="14.4" x14ac:dyDescent="0.3"/>
  <cols>
    <col min="1" max="1" width="15.21875" bestFit="1" customWidth="1"/>
    <col min="2" max="2" width="17.44140625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6" customWidth="1"/>
    <col min="8" max="8" width="11.33203125" customWidth="1"/>
    <col min="10" max="10" width="16.77734375" customWidth="1"/>
    <col min="11" max="11" width="15.1093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>
        <v>1000000001</v>
      </c>
      <c r="C2">
        <v>50000</v>
      </c>
      <c r="D2" t="s">
        <v>17</v>
      </c>
      <c r="E2" t="s">
        <v>27</v>
      </c>
      <c r="F2" t="s">
        <v>29</v>
      </c>
      <c r="G2" t="s">
        <v>229</v>
      </c>
    </row>
    <row r="3" spans="1:11" x14ac:dyDescent="0.3">
      <c r="A3" t="s">
        <v>8</v>
      </c>
      <c r="B3">
        <v>1000000002</v>
      </c>
      <c r="C3">
        <v>75000</v>
      </c>
      <c r="D3" t="s">
        <v>18</v>
      </c>
      <c r="E3" t="s">
        <v>28</v>
      </c>
      <c r="F3" t="s">
        <v>30</v>
      </c>
      <c r="G3" t="s">
        <v>230</v>
      </c>
      <c r="J3" s="2" t="s">
        <v>1</v>
      </c>
      <c r="K3">
        <v>1000000004</v>
      </c>
    </row>
    <row r="4" spans="1:11" x14ac:dyDescent="0.3">
      <c r="A4" t="s">
        <v>9</v>
      </c>
      <c r="B4">
        <v>1000000003</v>
      </c>
      <c r="C4">
        <v>120000</v>
      </c>
      <c r="D4" t="s">
        <v>19</v>
      </c>
      <c r="E4" t="s">
        <v>27</v>
      </c>
      <c r="F4" t="s">
        <v>31</v>
      </c>
      <c r="G4" t="s">
        <v>231</v>
      </c>
      <c r="J4" s="2" t="s">
        <v>0</v>
      </c>
      <c r="K4" t="str">
        <f>_xlfn.XLOOKUP(K3,B:B,A:A)</f>
        <v>Diya Gupta</v>
      </c>
    </row>
    <row r="5" spans="1:11" x14ac:dyDescent="0.3">
      <c r="A5" t="s">
        <v>10</v>
      </c>
      <c r="B5">
        <v>1000000004</v>
      </c>
      <c r="C5">
        <v>45000</v>
      </c>
      <c r="D5" t="s">
        <v>20</v>
      </c>
      <c r="E5" t="s">
        <v>28</v>
      </c>
      <c r="F5" t="s">
        <v>32</v>
      </c>
      <c r="G5" t="s">
        <v>232</v>
      </c>
      <c r="J5" s="2" t="s">
        <v>2</v>
      </c>
      <c r="K5">
        <f>_xlfn.XLOOKUP(K3,B:B,C:C)</f>
        <v>45000</v>
      </c>
    </row>
    <row r="6" spans="1:11" x14ac:dyDescent="0.3">
      <c r="A6" t="s">
        <v>11</v>
      </c>
      <c r="B6">
        <v>1000000005</v>
      </c>
      <c r="C6">
        <v>98000</v>
      </c>
      <c r="D6" t="s">
        <v>21</v>
      </c>
      <c r="E6" t="s">
        <v>27</v>
      </c>
      <c r="F6" t="s">
        <v>33</v>
      </c>
      <c r="G6" t="s">
        <v>233</v>
      </c>
      <c r="J6" s="2" t="s">
        <v>3</v>
      </c>
      <c r="K6" t="str">
        <f>_xlfn.XLOOKUP(K3,B:B,D:D)</f>
        <v>Pune</v>
      </c>
    </row>
    <row r="7" spans="1:11" x14ac:dyDescent="0.3">
      <c r="A7" t="s">
        <v>12</v>
      </c>
      <c r="B7">
        <v>1000000006</v>
      </c>
      <c r="C7">
        <v>67000</v>
      </c>
      <c r="D7" t="s">
        <v>22</v>
      </c>
      <c r="E7" t="s">
        <v>28</v>
      </c>
      <c r="F7" t="s">
        <v>34</v>
      </c>
      <c r="G7" t="s">
        <v>234</v>
      </c>
      <c r="J7" s="2" t="s">
        <v>4</v>
      </c>
    </row>
    <row r="8" spans="1:11" x14ac:dyDescent="0.3">
      <c r="A8" t="s">
        <v>13</v>
      </c>
      <c r="B8">
        <v>1000000007</v>
      </c>
      <c r="C8">
        <v>56000</v>
      </c>
      <c r="D8" t="s">
        <v>23</v>
      </c>
      <c r="E8" t="s">
        <v>27</v>
      </c>
      <c r="F8" t="s">
        <v>35</v>
      </c>
      <c r="G8" t="s">
        <v>235</v>
      </c>
      <c r="J8" s="2" t="s">
        <v>5</v>
      </c>
    </row>
    <row r="9" spans="1:11" x14ac:dyDescent="0.3">
      <c r="A9" t="s">
        <v>14</v>
      </c>
      <c r="B9">
        <v>1000000008</v>
      </c>
      <c r="C9">
        <v>89000</v>
      </c>
      <c r="D9" t="s">
        <v>24</v>
      </c>
      <c r="E9" t="s">
        <v>28</v>
      </c>
      <c r="F9" t="s">
        <v>36</v>
      </c>
      <c r="G9" t="s">
        <v>236</v>
      </c>
      <c r="J9" s="2" t="s">
        <v>6</v>
      </c>
    </row>
    <row r="10" spans="1:11" x14ac:dyDescent="0.3">
      <c r="A10" t="s">
        <v>15</v>
      </c>
      <c r="B10">
        <v>1000000009</v>
      </c>
      <c r="C10">
        <v>46000</v>
      </c>
      <c r="D10" t="s">
        <v>25</v>
      </c>
      <c r="E10" t="s">
        <v>27</v>
      </c>
      <c r="F10" t="s">
        <v>37</v>
      </c>
      <c r="G10" t="s">
        <v>237</v>
      </c>
    </row>
    <row r="11" spans="1:11" x14ac:dyDescent="0.3">
      <c r="A11" t="s">
        <v>16</v>
      </c>
      <c r="B11">
        <v>1000000010</v>
      </c>
      <c r="C11">
        <v>77000</v>
      </c>
      <c r="D11" t="s">
        <v>26</v>
      </c>
      <c r="E11" t="s">
        <v>28</v>
      </c>
      <c r="F11" t="s">
        <v>38</v>
      </c>
      <c r="G11" t="s">
        <v>238</v>
      </c>
    </row>
    <row r="12" spans="1:11" x14ac:dyDescent="0.3">
      <c r="A12" t="s">
        <v>7</v>
      </c>
      <c r="B12">
        <v>1000000011</v>
      </c>
      <c r="C12">
        <v>50000</v>
      </c>
      <c r="D12" t="s">
        <v>17</v>
      </c>
      <c r="E12" t="s">
        <v>27</v>
      </c>
      <c r="F12" t="s">
        <v>39</v>
      </c>
      <c r="G12" t="s">
        <v>239</v>
      </c>
    </row>
    <row r="13" spans="1:11" x14ac:dyDescent="0.3">
      <c r="A13" t="s">
        <v>8</v>
      </c>
      <c r="B13">
        <v>1000000012</v>
      </c>
      <c r="C13">
        <v>75000</v>
      </c>
      <c r="D13" t="s">
        <v>18</v>
      </c>
      <c r="E13" t="s">
        <v>28</v>
      </c>
      <c r="F13" t="s">
        <v>40</v>
      </c>
      <c r="G13" t="s">
        <v>240</v>
      </c>
    </row>
    <row r="14" spans="1:11" x14ac:dyDescent="0.3">
      <c r="A14" t="s">
        <v>9</v>
      </c>
      <c r="B14">
        <v>1000000013</v>
      </c>
      <c r="C14">
        <v>120000</v>
      </c>
      <c r="D14" t="s">
        <v>19</v>
      </c>
      <c r="E14" t="s">
        <v>27</v>
      </c>
      <c r="F14" t="s">
        <v>41</v>
      </c>
      <c r="G14" t="s">
        <v>241</v>
      </c>
    </row>
    <row r="15" spans="1:11" x14ac:dyDescent="0.3">
      <c r="A15" t="s">
        <v>10</v>
      </c>
      <c r="B15">
        <v>1000000014</v>
      </c>
      <c r="C15">
        <v>45000</v>
      </c>
      <c r="D15" t="s">
        <v>20</v>
      </c>
      <c r="E15" t="s">
        <v>28</v>
      </c>
      <c r="F15" t="s">
        <v>42</v>
      </c>
      <c r="G15" t="s">
        <v>242</v>
      </c>
    </row>
    <row r="16" spans="1:11" x14ac:dyDescent="0.3">
      <c r="A16" t="s">
        <v>11</v>
      </c>
      <c r="B16">
        <v>1000000015</v>
      </c>
      <c r="C16">
        <v>98000</v>
      </c>
      <c r="D16" t="s">
        <v>21</v>
      </c>
      <c r="E16" t="s">
        <v>27</v>
      </c>
      <c r="F16" t="s">
        <v>43</v>
      </c>
      <c r="G16" t="s">
        <v>243</v>
      </c>
    </row>
    <row r="17" spans="1:7" x14ac:dyDescent="0.3">
      <c r="A17" t="s">
        <v>12</v>
      </c>
      <c r="B17">
        <v>1000000016</v>
      </c>
      <c r="C17">
        <v>67000</v>
      </c>
      <c r="D17" t="s">
        <v>22</v>
      </c>
      <c r="E17" t="s">
        <v>28</v>
      </c>
      <c r="F17" t="s">
        <v>44</v>
      </c>
      <c r="G17" t="s">
        <v>244</v>
      </c>
    </row>
    <row r="18" spans="1:7" x14ac:dyDescent="0.3">
      <c r="A18" t="s">
        <v>13</v>
      </c>
      <c r="B18">
        <v>1000000017</v>
      </c>
      <c r="C18">
        <v>56000</v>
      </c>
      <c r="D18" t="s">
        <v>23</v>
      </c>
      <c r="E18" t="s">
        <v>27</v>
      </c>
      <c r="F18" t="s">
        <v>45</v>
      </c>
      <c r="G18" t="s">
        <v>245</v>
      </c>
    </row>
    <row r="19" spans="1:7" x14ac:dyDescent="0.3">
      <c r="A19" t="s">
        <v>14</v>
      </c>
      <c r="B19">
        <v>1000000018</v>
      </c>
      <c r="C19">
        <v>89000</v>
      </c>
      <c r="D19" t="s">
        <v>24</v>
      </c>
      <c r="E19" t="s">
        <v>28</v>
      </c>
      <c r="F19" t="s">
        <v>46</v>
      </c>
      <c r="G19" t="s">
        <v>246</v>
      </c>
    </row>
    <row r="20" spans="1:7" x14ac:dyDescent="0.3">
      <c r="A20" t="s">
        <v>15</v>
      </c>
      <c r="B20">
        <v>1000000019</v>
      </c>
      <c r="C20">
        <v>46000</v>
      </c>
      <c r="D20" t="s">
        <v>25</v>
      </c>
      <c r="E20" t="s">
        <v>27</v>
      </c>
      <c r="F20" t="s">
        <v>47</v>
      </c>
      <c r="G20" t="s">
        <v>247</v>
      </c>
    </row>
    <row r="21" spans="1:7" x14ac:dyDescent="0.3">
      <c r="A21" t="s">
        <v>16</v>
      </c>
      <c r="B21">
        <v>1000000020</v>
      </c>
      <c r="C21">
        <v>77000</v>
      </c>
      <c r="D21" t="s">
        <v>26</v>
      </c>
      <c r="E21" t="s">
        <v>28</v>
      </c>
      <c r="F21" t="s">
        <v>48</v>
      </c>
      <c r="G21" t="s">
        <v>248</v>
      </c>
    </row>
    <row r="22" spans="1:7" x14ac:dyDescent="0.3">
      <c r="A22" t="s">
        <v>7</v>
      </c>
      <c r="B22">
        <v>1000000021</v>
      </c>
      <c r="C22">
        <v>50000</v>
      </c>
      <c r="D22" t="s">
        <v>17</v>
      </c>
      <c r="E22" t="s">
        <v>27</v>
      </c>
      <c r="F22" t="s">
        <v>49</v>
      </c>
      <c r="G22" t="s">
        <v>249</v>
      </c>
    </row>
    <row r="23" spans="1:7" x14ac:dyDescent="0.3">
      <c r="A23" t="s">
        <v>8</v>
      </c>
      <c r="B23">
        <v>1000000022</v>
      </c>
      <c r="C23">
        <v>75000</v>
      </c>
      <c r="D23" t="s">
        <v>18</v>
      </c>
      <c r="E23" t="s">
        <v>28</v>
      </c>
      <c r="F23" t="s">
        <v>50</v>
      </c>
      <c r="G23" t="s">
        <v>250</v>
      </c>
    </row>
    <row r="24" spans="1:7" x14ac:dyDescent="0.3">
      <c r="A24" t="s">
        <v>9</v>
      </c>
      <c r="B24">
        <v>1000000023</v>
      </c>
      <c r="C24">
        <v>120000</v>
      </c>
      <c r="D24" t="s">
        <v>19</v>
      </c>
      <c r="E24" t="s">
        <v>27</v>
      </c>
      <c r="F24" t="s">
        <v>51</v>
      </c>
      <c r="G24" t="s">
        <v>251</v>
      </c>
    </row>
    <row r="25" spans="1:7" x14ac:dyDescent="0.3">
      <c r="A25" t="s">
        <v>10</v>
      </c>
      <c r="B25">
        <v>1000000024</v>
      </c>
      <c r="C25">
        <v>45000</v>
      </c>
      <c r="D25" t="s">
        <v>20</v>
      </c>
      <c r="E25" t="s">
        <v>28</v>
      </c>
      <c r="F25" t="s">
        <v>52</v>
      </c>
      <c r="G25" t="s">
        <v>252</v>
      </c>
    </row>
    <row r="26" spans="1:7" x14ac:dyDescent="0.3">
      <c r="A26" t="s">
        <v>11</v>
      </c>
      <c r="B26">
        <v>1000000025</v>
      </c>
      <c r="C26">
        <v>98000</v>
      </c>
      <c r="D26" t="s">
        <v>21</v>
      </c>
      <c r="E26" t="s">
        <v>27</v>
      </c>
      <c r="F26" t="s">
        <v>53</v>
      </c>
      <c r="G26" t="s">
        <v>253</v>
      </c>
    </row>
    <row r="27" spans="1:7" x14ac:dyDescent="0.3">
      <c r="A27" t="s">
        <v>12</v>
      </c>
      <c r="B27">
        <v>1000000026</v>
      </c>
      <c r="C27">
        <v>67000</v>
      </c>
      <c r="D27" t="s">
        <v>22</v>
      </c>
      <c r="E27" t="s">
        <v>28</v>
      </c>
      <c r="F27" t="s">
        <v>54</v>
      </c>
      <c r="G27" t="s">
        <v>254</v>
      </c>
    </row>
    <row r="28" spans="1:7" x14ac:dyDescent="0.3">
      <c r="A28" t="s">
        <v>13</v>
      </c>
      <c r="B28">
        <v>1000000027</v>
      </c>
      <c r="C28">
        <v>56000</v>
      </c>
      <c r="D28" t="s">
        <v>23</v>
      </c>
      <c r="E28" t="s">
        <v>27</v>
      </c>
      <c r="F28" t="s">
        <v>55</v>
      </c>
      <c r="G28" t="s">
        <v>255</v>
      </c>
    </row>
    <row r="29" spans="1:7" x14ac:dyDescent="0.3">
      <c r="A29" t="s">
        <v>14</v>
      </c>
      <c r="B29">
        <v>1000000028</v>
      </c>
      <c r="C29">
        <v>89000</v>
      </c>
      <c r="D29" t="s">
        <v>24</v>
      </c>
      <c r="E29" t="s">
        <v>28</v>
      </c>
      <c r="F29" t="s">
        <v>56</v>
      </c>
      <c r="G29" t="s">
        <v>256</v>
      </c>
    </row>
    <row r="30" spans="1:7" x14ac:dyDescent="0.3">
      <c r="A30" t="s">
        <v>15</v>
      </c>
      <c r="B30">
        <v>1000000029</v>
      </c>
      <c r="C30">
        <v>46000</v>
      </c>
      <c r="D30" t="s">
        <v>25</v>
      </c>
      <c r="E30" t="s">
        <v>27</v>
      </c>
      <c r="F30" t="s">
        <v>57</v>
      </c>
      <c r="G30" t="s">
        <v>257</v>
      </c>
    </row>
    <row r="31" spans="1:7" x14ac:dyDescent="0.3">
      <c r="A31" t="s">
        <v>16</v>
      </c>
      <c r="B31">
        <v>1000000030</v>
      </c>
      <c r="C31">
        <v>77000</v>
      </c>
      <c r="D31" t="s">
        <v>26</v>
      </c>
      <c r="E31" t="s">
        <v>28</v>
      </c>
      <c r="F31" t="s">
        <v>58</v>
      </c>
      <c r="G31" t="s">
        <v>258</v>
      </c>
    </row>
    <row r="32" spans="1:7" x14ac:dyDescent="0.3">
      <c r="A32" t="s">
        <v>7</v>
      </c>
      <c r="B32">
        <v>1000000031</v>
      </c>
      <c r="C32">
        <v>50000</v>
      </c>
      <c r="D32" t="s">
        <v>17</v>
      </c>
      <c r="E32" t="s">
        <v>27</v>
      </c>
      <c r="F32" t="s">
        <v>59</v>
      </c>
      <c r="G32" t="s">
        <v>259</v>
      </c>
    </row>
    <row r="33" spans="1:7" x14ac:dyDescent="0.3">
      <c r="A33" t="s">
        <v>8</v>
      </c>
      <c r="B33">
        <v>1000000032</v>
      </c>
      <c r="C33">
        <v>75000</v>
      </c>
      <c r="D33" t="s">
        <v>18</v>
      </c>
      <c r="E33" t="s">
        <v>28</v>
      </c>
      <c r="F33" t="s">
        <v>60</v>
      </c>
      <c r="G33" t="s">
        <v>260</v>
      </c>
    </row>
    <row r="34" spans="1:7" x14ac:dyDescent="0.3">
      <c r="A34" t="s">
        <v>9</v>
      </c>
      <c r="B34">
        <v>1000000033</v>
      </c>
      <c r="C34">
        <v>120000</v>
      </c>
      <c r="D34" t="s">
        <v>19</v>
      </c>
      <c r="E34" t="s">
        <v>27</v>
      </c>
      <c r="F34" t="s">
        <v>61</v>
      </c>
      <c r="G34" t="s">
        <v>261</v>
      </c>
    </row>
    <row r="35" spans="1:7" x14ac:dyDescent="0.3">
      <c r="A35" t="s">
        <v>10</v>
      </c>
      <c r="B35">
        <v>1000000034</v>
      </c>
      <c r="C35">
        <v>45000</v>
      </c>
      <c r="D35" t="s">
        <v>20</v>
      </c>
      <c r="E35" t="s">
        <v>28</v>
      </c>
      <c r="F35" t="s">
        <v>62</v>
      </c>
      <c r="G35" t="s">
        <v>262</v>
      </c>
    </row>
    <row r="36" spans="1:7" x14ac:dyDescent="0.3">
      <c r="A36" t="s">
        <v>11</v>
      </c>
      <c r="B36">
        <v>1000000035</v>
      </c>
      <c r="C36">
        <v>98000</v>
      </c>
      <c r="D36" t="s">
        <v>21</v>
      </c>
      <c r="E36" t="s">
        <v>27</v>
      </c>
      <c r="F36" t="s">
        <v>63</v>
      </c>
      <c r="G36" t="s">
        <v>263</v>
      </c>
    </row>
    <row r="37" spans="1:7" x14ac:dyDescent="0.3">
      <c r="A37" t="s">
        <v>12</v>
      </c>
      <c r="B37">
        <v>1000000036</v>
      </c>
      <c r="C37">
        <v>67000</v>
      </c>
      <c r="D37" t="s">
        <v>22</v>
      </c>
      <c r="E37" t="s">
        <v>28</v>
      </c>
      <c r="F37" t="s">
        <v>64</v>
      </c>
      <c r="G37" t="s">
        <v>264</v>
      </c>
    </row>
    <row r="38" spans="1:7" x14ac:dyDescent="0.3">
      <c r="A38" t="s">
        <v>13</v>
      </c>
      <c r="B38">
        <v>1000000037</v>
      </c>
      <c r="C38">
        <v>56000</v>
      </c>
      <c r="D38" t="s">
        <v>23</v>
      </c>
      <c r="E38" t="s">
        <v>27</v>
      </c>
      <c r="F38" t="s">
        <v>65</v>
      </c>
      <c r="G38" t="s">
        <v>265</v>
      </c>
    </row>
    <row r="39" spans="1:7" x14ac:dyDescent="0.3">
      <c r="A39" t="s">
        <v>14</v>
      </c>
      <c r="B39">
        <v>1000000038</v>
      </c>
      <c r="C39">
        <v>89000</v>
      </c>
      <c r="D39" t="s">
        <v>24</v>
      </c>
      <c r="E39" t="s">
        <v>28</v>
      </c>
      <c r="F39" t="s">
        <v>66</v>
      </c>
      <c r="G39" t="s">
        <v>266</v>
      </c>
    </row>
    <row r="40" spans="1:7" x14ac:dyDescent="0.3">
      <c r="A40" t="s">
        <v>15</v>
      </c>
      <c r="B40">
        <v>1000000039</v>
      </c>
      <c r="C40">
        <v>46000</v>
      </c>
      <c r="D40" t="s">
        <v>25</v>
      </c>
      <c r="E40" t="s">
        <v>27</v>
      </c>
      <c r="F40" t="s">
        <v>67</v>
      </c>
      <c r="G40" t="s">
        <v>267</v>
      </c>
    </row>
    <row r="41" spans="1:7" x14ac:dyDescent="0.3">
      <c r="A41" t="s">
        <v>16</v>
      </c>
      <c r="B41">
        <v>1000000040</v>
      </c>
      <c r="C41">
        <v>77000</v>
      </c>
      <c r="D41" t="s">
        <v>26</v>
      </c>
      <c r="E41" t="s">
        <v>28</v>
      </c>
      <c r="F41" t="s">
        <v>68</v>
      </c>
      <c r="G41" t="s">
        <v>268</v>
      </c>
    </row>
    <row r="42" spans="1:7" x14ac:dyDescent="0.3">
      <c r="A42" t="s">
        <v>7</v>
      </c>
      <c r="B42">
        <v>1000000041</v>
      </c>
      <c r="C42">
        <v>50000</v>
      </c>
      <c r="D42" t="s">
        <v>17</v>
      </c>
      <c r="E42" t="s">
        <v>27</v>
      </c>
      <c r="F42" t="s">
        <v>69</v>
      </c>
      <c r="G42" t="s">
        <v>269</v>
      </c>
    </row>
    <row r="43" spans="1:7" x14ac:dyDescent="0.3">
      <c r="A43" t="s">
        <v>8</v>
      </c>
      <c r="B43">
        <v>1000000042</v>
      </c>
      <c r="C43">
        <v>75000</v>
      </c>
      <c r="D43" t="s">
        <v>18</v>
      </c>
      <c r="E43" t="s">
        <v>28</v>
      </c>
      <c r="F43" t="s">
        <v>70</v>
      </c>
      <c r="G43" t="s">
        <v>270</v>
      </c>
    </row>
    <row r="44" spans="1:7" x14ac:dyDescent="0.3">
      <c r="A44" t="s">
        <v>9</v>
      </c>
      <c r="B44">
        <v>1000000043</v>
      </c>
      <c r="C44">
        <v>120000</v>
      </c>
      <c r="D44" t="s">
        <v>19</v>
      </c>
      <c r="E44" t="s">
        <v>27</v>
      </c>
      <c r="F44" t="s">
        <v>71</v>
      </c>
      <c r="G44" t="s">
        <v>271</v>
      </c>
    </row>
    <row r="45" spans="1:7" x14ac:dyDescent="0.3">
      <c r="A45" t="s">
        <v>10</v>
      </c>
      <c r="B45">
        <v>1000000044</v>
      </c>
      <c r="C45">
        <v>45000</v>
      </c>
      <c r="D45" t="s">
        <v>20</v>
      </c>
      <c r="E45" t="s">
        <v>28</v>
      </c>
      <c r="F45" t="s">
        <v>72</v>
      </c>
      <c r="G45" t="s">
        <v>272</v>
      </c>
    </row>
    <row r="46" spans="1:7" x14ac:dyDescent="0.3">
      <c r="A46" t="s">
        <v>11</v>
      </c>
      <c r="B46">
        <v>1000000045</v>
      </c>
      <c r="C46">
        <v>98000</v>
      </c>
      <c r="D46" t="s">
        <v>21</v>
      </c>
      <c r="E46" t="s">
        <v>27</v>
      </c>
      <c r="F46" t="s">
        <v>73</v>
      </c>
      <c r="G46" t="s">
        <v>273</v>
      </c>
    </row>
    <row r="47" spans="1:7" x14ac:dyDescent="0.3">
      <c r="A47" t="s">
        <v>12</v>
      </c>
      <c r="B47">
        <v>1000000046</v>
      </c>
      <c r="C47">
        <v>67000</v>
      </c>
      <c r="D47" t="s">
        <v>22</v>
      </c>
      <c r="E47" t="s">
        <v>28</v>
      </c>
      <c r="F47" t="s">
        <v>74</v>
      </c>
      <c r="G47" t="s">
        <v>274</v>
      </c>
    </row>
    <row r="48" spans="1:7" x14ac:dyDescent="0.3">
      <c r="A48" t="s">
        <v>13</v>
      </c>
      <c r="B48">
        <v>1000000047</v>
      </c>
      <c r="C48">
        <v>56000</v>
      </c>
      <c r="D48" t="s">
        <v>23</v>
      </c>
      <c r="E48" t="s">
        <v>27</v>
      </c>
      <c r="F48" t="s">
        <v>75</v>
      </c>
      <c r="G48" t="s">
        <v>275</v>
      </c>
    </row>
    <row r="49" spans="1:7" x14ac:dyDescent="0.3">
      <c r="A49" t="s">
        <v>14</v>
      </c>
      <c r="B49">
        <v>1000000048</v>
      </c>
      <c r="C49">
        <v>89000</v>
      </c>
      <c r="D49" t="s">
        <v>24</v>
      </c>
      <c r="E49" t="s">
        <v>28</v>
      </c>
      <c r="F49" t="s">
        <v>76</v>
      </c>
      <c r="G49" t="s">
        <v>276</v>
      </c>
    </row>
    <row r="50" spans="1:7" x14ac:dyDescent="0.3">
      <c r="A50" t="s">
        <v>15</v>
      </c>
      <c r="B50">
        <v>1000000049</v>
      </c>
      <c r="C50">
        <v>46000</v>
      </c>
      <c r="D50" t="s">
        <v>25</v>
      </c>
      <c r="E50" t="s">
        <v>27</v>
      </c>
      <c r="F50" t="s">
        <v>77</v>
      </c>
      <c r="G50" t="s">
        <v>277</v>
      </c>
    </row>
    <row r="51" spans="1:7" x14ac:dyDescent="0.3">
      <c r="A51" t="s">
        <v>16</v>
      </c>
      <c r="B51">
        <v>1000000050</v>
      </c>
      <c r="C51">
        <v>77000</v>
      </c>
      <c r="D51" t="s">
        <v>26</v>
      </c>
      <c r="E51" t="s">
        <v>28</v>
      </c>
      <c r="F51" t="s">
        <v>78</v>
      </c>
      <c r="G51" t="s">
        <v>278</v>
      </c>
    </row>
    <row r="52" spans="1:7" x14ac:dyDescent="0.3">
      <c r="A52" t="s">
        <v>7</v>
      </c>
      <c r="B52">
        <v>1000000051</v>
      </c>
      <c r="C52">
        <v>50000</v>
      </c>
      <c r="D52" t="s">
        <v>17</v>
      </c>
      <c r="E52" t="s">
        <v>27</v>
      </c>
      <c r="F52" t="s">
        <v>79</v>
      </c>
      <c r="G52" t="s">
        <v>279</v>
      </c>
    </row>
    <row r="53" spans="1:7" x14ac:dyDescent="0.3">
      <c r="A53" t="s">
        <v>8</v>
      </c>
      <c r="B53">
        <v>1000000052</v>
      </c>
      <c r="C53">
        <v>75000</v>
      </c>
      <c r="D53" t="s">
        <v>18</v>
      </c>
      <c r="E53" t="s">
        <v>28</v>
      </c>
      <c r="F53" t="s">
        <v>80</v>
      </c>
      <c r="G53" t="s">
        <v>280</v>
      </c>
    </row>
    <row r="54" spans="1:7" x14ac:dyDescent="0.3">
      <c r="A54" t="s">
        <v>9</v>
      </c>
      <c r="B54">
        <v>1000000053</v>
      </c>
      <c r="C54">
        <v>120000</v>
      </c>
      <c r="D54" t="s">
        <v>19</v>
      </c>
      <c r="E54" t="s">
        <v>27</v>
      </c>
      <c r="F54" t="s">
        <v>81</v>
      </c>
      <c r="G54" t="s">
        <v>281</v>
      </c>
    </row>
    <row r="55" spans="1:7" x14ac:dyDescent="0.3">
      <c r="A55" t="s">
        <v>10</v>
      </c>
      <c r="B55">
        <v>1000000054</v>
      </c>
      <c r="C55">
        <v>45000</v>
      </c>
      <c r="D55" t="s">
        <v>20</v>
      </c>
      <c r="E55" t="s">
        <v>28</v>
      </c>
      <c r="F55" t="s">
        <v>82</v>
      </c>
      <c r="G55" t="s">
        <v>282</v>
      </c>
    </row>
    <row r="56" spans="1:7" x14ac:dyDescent="0.3">
      <c r="A56" t="s">
        <v>11</v>
      </c>
      <c r="B56">
        <v>1000000055</v>
      </c>
      <c r="C56">
        <v>98000</v>
      </c>
      <c r="D56" t="s">
        <v>21</v>
      </c>
      <c r="E56" t="s">
        <v>27</v>
      </c>
      <c r="F56" t="s">
        <v>83</v>
      </c>
      <c r="G56" t="s">
        <v>283</v>
      </c>
    </row>
    <row r="57" spans="1:7" x14ac:dyDescent="0.3">
      <c r="A57" t="s">
        <v>12</v>
      </c>
      <c r="B57">
        <v>1000000056</v>
      </c>
      <c r="C57">
        <v>67000</v>
      </c>
      <c r="D57" t="s">
        <v>22</v>
      </c>
      <c r="E57" t="s">
        <v>28</v>
      </c>
      <c r="F57" t="s">
        <v>84</v>
      </c>
      <c r="G57" t="s">
        <v>284</v>
      </c>
    </row>
    <row r="58" spans="1:7" x14ac:dyDescent="0.3">
      <c r="A58" t="s">
        <v>13</v>
      </c>
      <c r="B58">
        <v>1000000057</v>
      </c>
      <c r="C58">
        <v>56000</v>
      </c>
      <c r="D58" t="s">
        <v>23</v>
      </c>
      <c r="E58" t="s">
        <v>27</v>
      </c>
      <c r="F58" t="s">
        <v>85</v>
      </c>
      <c r="G58" t="s">
        <v>285</v>
      </c>
    </row>
    <row r="59" spans="1:7" x14ac:dyDescent="0.3">
      <c r="A59" t="s">
        <v>14</v>
      </c>
      <c r="B59">
        <v>1000000058</v>
      </c>
      <c r="C59">
        <v>89000</v>
      </c>
      <c r="D59" t="s">
        <v>24</v>
      </c>
      <c r="E59" t="s">
        <v>28</v>
      </c>
      <c r="F59" t="s">
        <v>86</v>
      </c>
      <c r="G59" t="s">
        <v>286</v>
      </c>
    </row>
    <row r="60" spans="1:7" x14ac:dyDescent="0.3">
      <c r="A60" t="s">
        <v>15</v>
      </c>
      <c r="B60">
        <v>1000000059</v>
      </c>
      <c r="C60">
        <v>46000</v>
      </c>
      <c r="D60" t="s">
        <v>25</v>
      </c>
      <c r="E60" t="s">
        <v>27</v>
      </c>
      <c r="F60" t="s">
        <v>87</v>
      </c>
      <c r="G60" t="s">
        <v>287</v>
      </c>
    </row>
    <row r="61" spans="1:7" x14ac:dyDescent="0.3">
      <c r="A61" t="s">
        <v>16</v>
      </c>
      <c r="B61">
        <v>1000000060</v>
      </c>
      <c r="C61">
        <v>77000</v>
      </c>
      <c r="D61" t="s">
        <v>26</v>
      </c>
      <c r="E61" t="s">
        <v>28</v>
      </c>
      <c r="F61" t="s">
        <v>88</v>
      </c>
      <c r="G61" t="s">
        <v>288</v>
      </c>
    </row>
    <row r="62" spans="1:7" x14ac:dyDescent="0.3">
      <c r="A62" t="s">
        <v>7</v>
      </c>
      <c r="B62">
        <v>1000000061</v>
      </c>
      <c r="C62">
        <v>50000</v>
      </c>
      <c r="D62" t="s">
        <v>17</v>
      </c>
      <c r="E62" t="s">
        <v>27</v>
      </c>
      <c r="F62" t="s">
        <v>89</v>
      </c>
      <c r="G62" t="s">
        <v>289</v>
      </c>
    </row>
    <row r="63" spans="1:7" x14ac:dyDescent="0.3">
      <c r="A63" t="s">
        <v>8</v>
      </c>
      <c r="B63">
        <v>1000000062</v>
      </c>
      <c r="C63">
        <v>75000</v>
      </c>
      <c r="D63" t="s">
        <v>18</v>
      </c>
      <c r="E63" t="s">
        <v>28</v>
      </c>
      <c r="F63" t="s">
        <v>90</v>
      </c>
      <c r="G63" t="s">
        <v>290</v>
      </c>
    </row>
    <row r="64" spans="1:7" x14ac:dyDescent="0.3">
      <c r="A64" t="s">
        <v>9</v>
      </c>
      <c r="B64">
        <v>1000000063</v>
      </c>
      <c r="C64">
        <v>120000</v>
      </c>
      <c r="D64" t="s">
        <v>19</v>
      </c>
      <c r="E64" t="s">
        <v>27</v>
      </c>
      <c r="F64" t="s">
        <v>91</v>
      </c>
      <c r="G64" t="s">
        <v>291</v>
      </c>
    </row>
    <row r="65" spans="1:7" x14ac:dyDescent="0.3">
      <c r="A65" t="s">
        <v>10</v>
      </c>
      <c r="B65">
        <v>1000000064</v>
      </c>
      <c r="C65">
        <v>45000</v>
      </c>
      <c r="D65" t="s">
        <v>20</v>
      </c>
      <c r="E65" t="s">
        <v>28</v>
      </c>
      <c r="F65" t="s">
        <v>92</v>
      </c>
      <c r="G65" t="s">
        <v>292</v>
      </c>
    </row>
    <row r="66" spans="1:7" x14ac:dyDescent="0.3">
      <c r="A66" t="s">
        <v>11</v>
      </c>
      <c r="B66">
        <v>1000000065</v>
      </c>
      <c r="C66">
        <v>98000</v>
      </c>
      <c r="D66" t="s">
        <v>21</v>
      </c>
      <c r="E66" t="s">
        <v>27</v>
      </c>
      <c r="F66" t="s">
        <v>93</v>
      </c>
      <c r="G66" t="s">
        <v>293</v>
      </c>
    </row>
    <row r="67" spans="1:7" x14ac:dyDescent="0.3">
      <c r="A67" t="s">
        <v>12</v>
      </c>
      <c r="B67">
        <v>1000000066</v>
      </c>
      <c r="C67">
        <v>67000</v>
      </c>
      <c r="D67" t="s">
        <v>22</v>
      </c>
      <c r="E67" t="s">
        <v>28</v>
      </c>
      <c r="F67" t="s">
        <v>94</v>
      </c>
      <c r="G67" t="s">
        <v>294</v>
      </c>
    </row>
    <row r="68" spans="1:7" x14ac:dyDescent="0.3">
      <c r="A68" t="s">
        <v>13</v>
      </c>
      <c r="B68">
        <v>1000000067</v>
      </c>
      <c r="C68">
        <v>56000</v>
      </c>
      <c r="D68" t="s">
        <v>23</v>
      </c>
      <c r="E68" t="s">
        <v>27</v>
      </c>
      <c r="F68" t="s">
        <v>95</v>
      </c>
      <c r="G68" t="s">
        <v>295</v>
      </c>
    </row>
    <row r="69" spans="1:7" x14ac:dyDescent="0.3">
      <c r="A69" t="s">
        <v>14</v>
      </c>
      <c r="B69">
        <v>1000000068</v>
      </c>
      <c r="C69">
        <v>89000</v>
      </c>
      <c r="D69" t="s">
        <v>24</v>
      </c>
      <c r="E69" t="s">
        <v>28</v>
      </c>
      <c r="F69" t="s">
        <v>96</v>
      </c>
      <c r="G69" t="s">
        <v>296</v>
      </c>
    </row>
    <row r="70" spans="1:7" x14ac:dyDescent="0.3">
      <c r="A70" t="s">
        <v>15</v>
      </c>
      <c r="B70">
        <v>1000000069</v>
      </c>
      <c r="C70">
        <v>46000</v>
      </c>
      <c r="D70" t="s">
        <v>25</v>
      </c>
      <c r="E70" t="s">
        <v>27</v>
      </c>
      <c r="F70" t="s">
        <v>97</v>
      </c>
      <c r="G70" t="s">
        <v>297</v>
      </c>
    </row>
    <row r="71" spans="1:7" x14ac:dyDescent="0.3">
      <c r="A71" t="s">
        <v>16</v>
      </c>
      <c r="B71">
        <v>1000000070</v>
      </c>
      <c r="C71">
        <v>77000</v>
      </c>
      <c r="D71" t="s">
        <v>26</v>
      </c>
      <c r="E71" t="s">
        <v>28</v>
      </c>
      <c r="F71" t="s">
        <v>98</v>
      </c>
      <c r="G71" t="s">
        <v>298</v>
      </c>
    </row>
    <row r="72" spans="1:7" x14ac:dyDescent="0.3">
      <c r="A72" t="s">
        <v>7</v>
      </c>
      <c r="B72">
        <v>1000000071</v>
      </c>
      <c r="C72">
        <v>50000</v>
      </c>
      <c r="D72" t="s">
        <v>17</v>
      </c>
      <c r="E72" t="s">
        <v>27</v>
      </c>
      <c r="F72" t="s">
        <v>99</v>
      </c>
      <c r="G72" t="s">
        <v>299</v>
      </c>
    </row>
    <row r="73" spans="1:7" x14ac:dyDescent="0.3">
      <c r="A73" t="s">
        <v>8</v>
      </c>
      <c r="B73">
        <v>1000000072</v>
      </c>
      <c r="C73">
        <v>75000</v>
      </c>
      <c r="D73" t="s">
        <v>18</v>
      </c>
      <c r="E73" t="s">
        <v>28</v>
      </c>
      <c r="F73" t="s">
        <v>100</v>
      </c>
      <c r="G73" t="s">
        <v>300</v>
      </c>
    </row>
    <row r="74" spans="1:7" x14ac:dyDescent="0.3">
      <c r="A74" t="s">
        <v>9</v>
      </c>
      <c r="B74">
        <v>1000000073</v>
      </c>
      <c r="C74">
        <v>120000</v>
      </c>
      <c r="D74" t="s">
        <v>19</v>
      </c>
      <c r="E74" t="s">
        <v>27</v>
      </c>
      <c r="F74" t="s">
        <v>101</v>
      </c>
      <c r="G74" t="s">
        <v>301</v>
      </c>
    </row>
    <row r="75" spans="1:7" x14ac:dyDescent="0.3">
      <c r="A75" t="s">
        <v>10</v>
      </c>
      <c r="B75">
        <v>1000000074</v>
      </c>
      <c r="C75">
        <v>45000</v>
      </c>
      <c r="D75" t="s">
        <v>20</v>
      </c>
      <c r="E75" t="s">
        <v>28</v>
      </c>
      <c r="F75" t="s">
        <v>102</v>
      </c>
      <c r="G75" t="s">
        <v>302</v>
      </c>
    </row>
    <row r="76" spans="1:7" x14ac:dyDescent="0.3">
      <c r="A76" t="s">
        <v>11</v>
      </c>
      <c r="B76">
        <v>1000000075</v>
      </c>
      <c r="C76">
        <v>98000</v>
      </c>
      <c r="D76" t="s">
        <v>21</v>
      </c>
      <c r="E76" t="s">
        <v>27</v>
      </c>
      <c r="F76" t="s">
        <v>103</v>
      </c>
      <c r="G76" t="s">
        <v>303</v>
      </c>
    </row>
    <row r="77" spans="1:7" x14ac:dyDescent="0.3">
      <c r="A77" t="s">
        <v>12</v>
      </c>
      <c r="B77">
        <v>1000000076</v>
      </c>
      <c r="C77">
        <v>67000</v>
      </c>
      <c r="D77" t="s">
        <v>22</v>
      </c>
      <c r="E77" t="s">
        <v>28</v>
      </c>
      <c r="F77" t="s">
        <v>104</v>
      </c>
      <c r="G77" t="s">
        <v>304</v>
      </c>
    </row>
    <row r="78" spans="1:7" x14ac:dyDescent="0.3">
      <c r="A78" t="s">
        <v>13</v>
      </c>
      <c r="B78">
        <v>1000000077</v>
      </c>
      <c r="C78">
        <v>56000</v>
      </c>
      <c r="D78" t="s">
        <v>23</v>
      </c>
      <c r="E78" t="s">
        <v>27</v>
      </c>
      <c r="F78" t="s">
        <v>105</v>
      </c>
      <c r="G78" t="s">
        <v>305</v>
      </c>
    </row>
    <row r="79" spans="1:7" x14ac:dyDescent="0.3">
      <c r="A79" t="s">
        <v>14</v>
      </c>
      <c r="B79">
        <v>1000000078</v>
      </c>
      <c r="C79">
        <v>89000</v>
      </c>
      <c r="D79" t="s">
        <v>24</v>
      </c>
      <c r="E79" t="s">
        <v>28</v>
      </c>
      <c r="F79" t="s">
        <v>106</v>
      </c>
      <c r="G79" t="s">
        <v>306</v>
      </c>
    </row>
    <row r="80" spans="1:7" x14ac:dyDescent="0.3">
      <c r="A80" t="s">
        <v>15</v>
      </c>
      <c r="B80">
        <v>1000000079</v>
      </c>
      <c r="C80">
        <v>46000</v>
      </c>
      <c r="D80" t="s">
        <v>25</v>
      </c>
      <c r="E80" t="s">
        <v>27</v>
      </c>
      <c r="F80" t="s">
        <v>107</v>
      </c>
      <c r="G80" t="s">
        <v>307</v>
      </c>
    </row>
    <row r="81" spans="1:7" x14ac:dyDescent="0.3">
      <c r="A81" t="s">
        <v>16</v>
      </c>
      <c r="B81">
        <v>1000000080</v>
      </c>
      <c r="C81">
        <v>77000</v>
      </c>
      <c r="D81" t="s">
        <v>26</v>
      </c>
      <c r="E81" t="s">
        <v>28</v>
      </c>
      <c r="F81" t="s">
        <v>108</v>
      </c>
      <c r="G81" t="s">
        <v>308</v>
      </c>
    </row>
    <row r="82" spans="1:7" x14ac:dyDescent="0.3">
      <c r="A82" t="s">
        <v>7</v>
      </c>
      <c r="B82">
        <v>1000000081</v>
      </c>
      <c r="C82">
        <v>50000</v>
      </c>
      <c r="D82" t="s">
        <v>17</v>
      </c>
      <c r="E82" t="s">
        <v>27</v>
      </c>
      <c r="F82" t="s">
        <v>109</v>
      </c>
      <c r="G82" t="s">
        <v>309</v>
      </c>
    </row>
    <row r="83" spans="1:7" x14ac:dyDescent="0.3">
      <c r="A83" t="s">
        <v>8</v>
      </c>
      <c r="B83">
        <v>1000000082</v>
      </c>
      <c r="C83">
        <v>75000</v>
      </c>
      <c r="D83" t="s">
        <v>18</v>
      </c>
      <c r="E83" t="s">
        <v>28</v>
      </c>
      <c r="F83" t="s">
        <v>110</v>
      </c>
      <c r="G83" t="s">
        <v>310</v>
      </c>
    </row>
    <row r="84" spans="1:7" x14ac:dyDescent="0.3">
      <c r="A84" t="s">
        <v>9</v>
      </c>
      <c r="B84">
        <v>1000000083</v>
      </c>
      <c r="C84">
        <v>120000</v>
      </c>
      <c r="D84" t="s">
        <v>19</v>
      </c>
      <c r="E84" t="s">
        <v>27</v>
      </c>
      <c r="F84" t="s">
        <v>111</v>
      </c>
      <c r="G84" t="s">
        <v>311</v>
      </c>
    </row>
    <row r="85" spans="1:7" x14ac:dyDescent="0.3">
      <c r="A85" t="s">
        <v>10</v>
      </c>
      <c r="B85">
        <v>1000000084</v>
      </c>
      <c r="C85">
        <v>45000</v>
      </c>
      <c r="D85" t="s">
        <v>20</v>
      </c>
      <c r="E85" t="s">
        <v>28</v>
      </c>
      <c r="F85" t="s">
        <v>112</v>
      </c>
      <c r="G85" t="s">
        <v>312</v>
      </c>
    </row>
    <row r="86" spans="1:7" x14ac:dyDescent="0.3">
      <c r="A86" t="s">
        <v>11</v>
      </c>
      <c r="B86">
        <v>1000000085</v>
      </c>
      <c r="C86">
        <v>98000</v>
      </c>
      <c r="D86" t="s">
        <v>21</v>
      </c>
      <c r="E86" t="s">
        <v>27</v>
      </c>
      <c r="F86" t="s">
        <v>113</v>
      </c>
      <c r="G86" t="s">
        <v>313</v>
      </c>
    </row>
    <row r="87" spans="1:7" x14ac:dyDescent="0.3">
      <c r="A87" t="s">
        <v>12</v>
      </c>
      <c r="B87">
        <v>1000000086</v>
      </c>
      <c r="C87">
        <v>67000</v>
      </c>
      <c r="D87" t="s">
        <v>22</v>
      </c>
      <c r="E87" t="s">
        <v>28</v>
      </c>
      <c r="F87" t="s">
        <v>114</v>
      </c>
      <c r="G87" t="s">
        <v>314</v>
      </c>
    </row>
    <row r="88" spans="1:7" x14ac:dyDescent="0.3">
      <c r="A88" t="s">
        <v>13</v>
      </c>
      <c r="B88">
        <v>1000000087</v>
      </c>
      <c r="C88">
        <v>56000</v>
      </c>
      <c r="D88" t="s">
        <v>23</v>
      </c>
      <c r="E88" t="s">
        <v>27</v>
      </c>
      <c r="F88" t="s">
        <v>115</v>
      </c>
      <c r="G88" t="s">
        <v>315</v>
      </c>
    </row>
    <row r="89" spans="1:7" x14ac:dyDescent="0.3">
      <c r="A89" t="s">
        <v>14</v>
      </c>
      <c r="B89">
        <v>1000000088</v>
      </c>
      <c r="C89">
        <v>89000</v>
      </c>
      <c r="D89" t="s">
        <v>24</v>
      </c>
      <c r="E89" t="s">
        <v>28</v>
      </c>
      <c r="F89" t="s">
        <v>116</v>
      </c>
      <c r="G89" t="s">
        <v>316</v>
      </c>
    </row>
    <row r="90" spans="1:7" x14ac:dyDescent="0.3">
      <c r="A90" t="s">
        <v>15</v>
      </c>
      <c r="B90">
        <v>1000000089</v>
      </c>
      <c r="C90">
        <v>46000</v>
      </c>
      <c r="D90" t="s">
        <v>25</v>
      </c>
      <c r="E90" t="s">
        <v>27</v>
      </c>
      <c r="F90" t="s">
        <v>117</v>
      </c>
      <c r="G90" t="s">
        <v>317</v>
      </c>
    </row>
    <row r="91" spans="1:7" x14ac:dyDescent="0.3">
      <c r="A91" t="s">
        <v>16</v>
      </c>
      <c r="B91">
        <v>1000000090</v>
      </c>
      <c r="C91">
        <v>77000</v>
      </c>
      <c r="D91" t="s">
        <v>26</v>
      </c>
      <c r="E91" t="s">
        <v>28</v>
      </c>
      <c r="F91" t="s">
        <v>118</v>
      </c>
      <c r="G91" t="s">
        <v>318</v>
      </c>
    </row>
    <row r="92" spans="1:7" x14ac:dyDescent="0.3">
      <c r="A92" t="s">
        <v>7</v>
      </c>
      <c r="B92">
        <v>1000000091</v>
      </c>
      <c r="C92">
        <v>50000</v>
      </c>
      <c r="D92" t="s">
        <v>17</v>
      </c>
      <c r="E92" t="s">
        <v>27</v>
      </c>
      <c r="F92" t="s">
        <v>119</v>
      </c>
      <c r="G92" t="s">
        <v>319</v>
      </c>
    </row>
    <row r="93" spans="1:7" x14ac:dyDescent="0.3">
      <c r="A93" t="s">
        <v>8</v>
      </c>
      <c r="B93">
        <v>1000000092</v>
      </c>
      <c r="C93">
        <v>75000</v>
      </c>
      <c r="D93" t="s">
        <v>18</v>
      </c>
      <c r="E93" t="s">
        <v>28</v>
      </c>
      <c r="F93" t="s">
        <v>120</v>
      </c>
      <c r="G93" t="s">
        <v>320</v>
      </c>
    </row>
    <row r="94" spans="1:7" x14ac:dyDescent="0.3">
      <c r="A94" t="s">
        <v>9</v>
      </c>
      <c r="B94">
        <v>1000000093</v>
      </c>
      <c r="C94">
        <v>120000</v>
      </c>
      <c r="D94" t="s">
        <v>19</v>
      </c>
      <c r="E94" t="s">
        <v>27</v>
      </c>
      <c r="F94" t="s">
        <v>121</v>
      </c>
      <c r="G94" t="s">
        <v>321</v>
      </c>
    </row>
    <row r="95" spans="1:7" x14ac:dyDescent="0.3">
      <c r="A95" t="s">
        <v>10</v>
      </c>
      <c r="B95">
        <v>1000000094</v>
      </c>
      <c r="C95">
        <v>45000</v>
      </c>
      <c r="D95" t="s">
        <v>20</v>
      </c>
      <c r="E95" t="s">
        <v>28</v>
      </c>
      <c r="F95" t="s">
        <v>122</v>
      </c>
      <c r="G95" t="s">
        <v>322</v>
      </c>
    </row>
    <row r="96" spans="1:7" x14ac:dyDescent="0.3">
      <c r="A96" t="s">
        <v>11</v>
      </c>
      <c r="B96">
        <v>1000000095</v>
      </c>
      <c r="C96">
        <v>98000</v>
      </c>
      <c r="D96" t="s">
        <v>21</v>
      </c>
      <c r="E96" t="s">
        <v>27</v>
      </c>
      <c r="F96" t="s">
        <v>123</v>
      </c>
      <c r="G96" t="s">
        <v>323</v>
      </c>
    </row>
    <row r="97" spans="1:7" x14ac:dyDescent="0.3">
      <c r="A97" t="s">
        <v>12</v>
      </c>
      <c r="B97">
        <v>1000000096</v>
      </c>
      <c r="C97">
        <v>67000</v>
      </c>
      <c r="D97" t="s">
        <v>22</v>
      </c>
      <c r="E97" t="s">
        <v>28</v>
      </c>
      <c r="F97" t="s">
        <v>124</v>
      </c>
      <c r="G97" t="s">
        <v>324</v>
      </c>
    </row>
    <row r="98" spans="1:7" x14ac:dyDescent="0.3">
      <c r="A98" t="s">
        <v>13</v>
      </c>
      <c r="B98">
        <v>1000000097</v>
      </c>
      <c r="C98">
        <v>56000</v>
      </c>
      <c r="D98" t="s">
        <v>23</v>
      </c>
      <c r="E98" t="s">
        <v>27</v>
      </c>
      <c r="F98" t="s">
        <v>125</v>
      </c>
      <c r="G98" t="s">
        <v>325</v>
      </c>
    </row>
    <row r="99" spans="1:7" x14ac:dyDescent="0.3">
      <c r="A99" t="s">
        <v>14</v>
      </c>
      <c r="B99">
        <v>1000000098</v>
      </c>
      <c r="C99">
        <v>89000</v>
      </c>
      <c r="D99" t="s">
        <v>24</v>
      </c>
      <c r="E99" t="s">
        <v>28</v>
      </c>
      <c r="F99" t="s">
        <v>126</v>
      </c>
      <c r="G99" t="s">
        <v>326</v>
      </c>
    </row>
    <row r="100" spans="1:7" x14ac:dyDescent="0.3">
      <c r="A100" t="s">
        <v>15</v>
      </c>
      <c r="B100">
        <v>1000000099</v>
      </c>
      <c r="C100">
        <v>46000</v>
      </c>
      <c r="D100" t="s">
        <v>25</v>
      </c>
      <c r="E100" t="s">
        <v>27</v>
      </c>
      <c r="F100" t="s">
        <v>127</v>
      </c>
      <c r="G100" t="s">
        <v>327</v>
      </c>
    </row>
    <row r="101" spans="1:7" x14ac:dyDescent="0.3">
      <c r="A101" t="s">
        <v>16</v>
      </c>
      <c r="B101">
        <v>1000000100</v>
      </c>
      <c r="C101">
        <v>77000</v>
      </c>
      <c r="D101" t="s">
        <v>26</v>
      </c>
      <c r="E101" t="s">
        <v>28</v>
      </c>
      <c r="F101" t="s">
        <v>128</v>
      </c>
      <c r="G101" t="s">
        <v>328</v>
      </c>
    </row>
    <row r="102" spans="1:7" x14ac:dyDescent="0.3">
      <c r="A102" t="s">
        <v>7</v>
      </c>
      <c r="B102">
        <v>1000000101</v>
      </c>
      <c r="C102">
        <v>50000</v>
      </c>
      <c r="D102" t="s">
        <v>17</v>
      </c>
      <c r="E102" t="s">
        <v>27</v>
      </c>
      <c r="F102" t="s">
        <v>129</v>
      </c>
      <c r="G102" t="s">
        <v>329</v>
      </c>
    </row>
    <row r="103" spans="1:7" x14ac:dyDescent="0.3">
      <c r="A103" t="s">
        <v>8</v>
      </c>
      <c r="B103">
        <v>1000000102</v>
      </c>
      <c r="C103">
        <v>75000</v>
      </c>
      <c r="D103" t="s">
        <v>18</v>
      </c>
      <c r="E103" t="s">
        <v>28</v>
      </c>
      <c r="F103" t="s">
        <v>130</v>
      </c>
      <c r="G103" t="s">
        <v>330</v>
      </c>
    </row>
    <row r="104" spans="1:7" x14ac:dyDescent="0.3">
      <c r="A104" t="s">
        <v>9</v>
      </c>
      <c r="B104">
        <v>1000000103</v>
      </c>
      <c r="C104">
        <v>120000</v>
      </c>
      <c r="D104" t="s">
        <v>19</v>
      </c>
      <c r="E104" t="s">
        <v>27</v>
      </c>
      <c r="F104" t="s">
        <v>131</v>
      </c>
      <c r="G104" t="s">
        <v>331</v>
      </c>
    </row>
    <row r="105" spans="1:7" x14ac:dyDescent="0.3">
      <c r="A105" t="s">
        <v>10</v>
      </c>
      <c r="B105">
        <v>1000000104</v>
      </c>
      <c r="C105">
        <v>45000</v>
      </c>
      <c r="D105" t="s">
        <v>20</v>
      </c>
      <c r="E105" t="s">
        <v>28</v>
      </c>
      <c r="F105" t="s">
        <v>132</v>
      </c>
      <c r="G105" t="s">
        <v>332</v>
      </c>
    </row>
    <row r="106" spans="1:7" x14ac:dyDescent="0.3">
      <c r="A106" t="s">
        <v>11</v>
      </c>
      <c r="B106">
        <v>1000000105</v>
      </c>
      <c r="C106">
        <v>98000</v>
      </c>
      <c r="D106" t="s">
        <v>21</v>
      </c>
      <c r="E106" t="s">
        <v>27</v>
      </c>
      <c r="F106" t="s">
        <v>133</v>
      </c>
      <c r="G106" t="s">
        <v>333</v>
      </c>
    </row>
    <row r="107" spans="1:7" x14ac:dyDescent="0.3">
      <c r="A107" t="s">
        <v>12</v>
      </c>
      <c r="B107">
        <v>1000000106</v>
      </c>
      <c r="C107">
        <v>67000</v>
      </c>
      <c r="D107" t="s">
        <v>22</v>
      </c>
      <c r="E107" t="s">
        <v>28</v>
      </c>
      <c r="F107" t="s">
        <v>134</v>
      </c>
      <c r="G107" t="s">
        <v>334</v>
      </c>
    </row>
    <row r="108" spans="1:7" x14ac:dyDescent="0.3">
      <c r="A108" t="s">
        <v>13</v>
      </c>
      <c r="B108">
        <v>1000000107</v>
      </c>
      <c r="C108">
        <v>56000</v>
      </c>
      <c r="D108" t="s">
        <v>23</v>
      </c>
      <c r="E108" t="s">
        <v>27</v>
      </c>
      <c r="F108" t="s">
        <v>135</v>
      </c>
      <c r="G108" t="s">
        <v>335</v>
      </c>
    </row>
    <row r="109" spans="1:7" x14ac:dyDescent="0.3">
      <c r="A109" t="s">
        <v>14</v>
      </c>
      <c r="B109">
        <v>1000000108</v>
      </c>
      <c r="C109">
        <v>89000</v>
      </c>
      <c r="D109" t="s">
        <v>24</v>
      </c>
      <c r="E109" t="s">
        <v>28</v>
      </c>
      <c r="F109" t="s">
        <v>136</v>
      </c>
      <c r="G109" t="s">
        <v>336</v>
      </c>
    </row>
    <row r="110" spans="1:7" x14ac:dyDescent="0.3">
      <c r="A110" t="s">
        <v>15</v>
      </c>
      <c r="B110">
        <v>1000000109</v>
      </c>
      <c r="C110">
        <v>46000</v>
      </c>
      <c r="D110" t="s">
        <v>25</v>
      </c>
      <c r="E110" t="s">
        <v>27</v>
      </c>
      <c r="F110" t="s">
        <v>137</v>
      </c>
      <c r="G110" t="s">
        <v>337</v>
      </c>
    </row>
    <row r="111" spans="1:7" x14ac:dyDescent="0.3">
      <c r="A111" t="s">
        <v>16</v>
      </c>
      <c r="B111">
        <v>1000000110</v>
      </c>
      <c r="C111">
        <v>77000</v>
      </c>
      <c r="D111" t="s">
        <v>26</v>
      </c>
      <c r="E111" t="s">
        <v>28</v>
      </c>
      <c r="F111" t="s">
        <v>138</v>
      </c>
      <c r="G111" t="s">
        <v>338</v>
      </c>
    </row>
    <row r="112" spans="1:7" x14ac:dyDescent="0.3">
      <c r="A112" t="s">
        <v>7</v>
      </c>
      <c r="B112">
        <v>1000000111</v>
      </c>
      <c r="C112">
        <v>50000</v>
      </c>
      <c r="D112" t="s">
        <v>17</v>
      </c>
      <c r="E112" t="s">
        <v>27</v>
      </c>
      <c r="F112" t="s">
        <v>139</v>
      </c>
      <c r="G112" t="s">
        <v>339</v>
      </c>
    </row>
    <row r="113" spans="1:7" x14ac:dyDescent="0.3">
      <c r="A113" t="s">
        <v>8</v>
      </c>
      <c r="B113">
        <v>1000000112</v>
      </c>
      <c r="C113">
        <v>75000</v>
      </c>
      <c r="D113" t="s">
        <v>18</v>
      </c>
      <c r="E113" t="s">
        <v>28</v>
      </c>
      <c r="F113" t="s">
        <v>140</v>
      </c>
      <c r="G113" t="s">
        <v>340</v>
      </c>
    </row>
    <row r="114" spans="1:7" x14ac:dyDescent="0.3">
      <c r="A114" t="s">
        <v>9</v>
      </c>
      <c r="B114">
        <v>1000000113</v>
      </c>
      <c r="C114">
        <v>120000</v>
      </c>
      <c r="D114" t="s">
        <v>19</v>
      </c>
      <c r="E114" t="s">
        <v>27</v>
      </c>
      <c r="F114" t="s">
        <v>141</v>
      </c>
      <c r="G114" t="s">
        <v>341</v>
      </c>
    </row>
    <row r="115" spans="1:7" x14ac:dyDescent="0.3">
      <c r="A115" t="s">
        <v>10</v>
      </c>
      <c r="B115">
        <v>1000000114</v>
      </c>
      <c r="C115">
        <v>45000</v>
      </c>
      <c r="D115" t="s">
        <v>20</v>
      </c>
      <c r="E115" t="s">
        <v>28</v>
      </c>
      <c r="F115" t="s">
        <v>142</v>
      </c>
      <c r="G115" t="s">
        <v>342</v>
      </c>
    </row>
    <row r="116" spans="1:7" x14ac:dyDescent="0.3">
      <c r="A116" t="s">
        <v>11</v>
      </c>
      <c r="B116">
        <v>1000000115</v>
      </c>
      <c r="C116">
        <v>98000</v>
      </c>
      <c r="D116" t="s">
        <v>21</v>
      </c>
      <c r="E116" t="s">
        <v>27</v>
      </c>
      <c r="F116" t="s">
        <v>143</v>
      </c>
      <c r="G116" t="s">
        <v>343</v>
      </c>
    </row>
    <row r="117" spans="1:7" x14ac:dyDescent="0.3">
      <c r="A117" t="s">
        <v>12</v>
      </c>
      <c r="B117">
        <v>1000000116</v>
      </c>
      <c r="C117">
        <v>67000</v>
      </c>
      <c r="D117" t="s">
        <v>22</v>
      </c>
      <c r="E117" t="s">
        <v>28</v>
      </c>
      <c r="F117" t="s">
        <v>144</v>
      </c>
      <c r="G117" t="s">
        <v>344</v>
      </c>
    </row>
    <row r="118" spans="1:7" x14ac:dyDescent="0.3">
      <c r="A118" t="s">
        <v>13</v>
      </c>
      <c r="B118">
        <v>1000000117</v>
      </c>
      <c r="C118">
        <v>56000</v>
      </c>
      <c r="D118" t="s">
        <v>23</v>
      </c>
      <c r="E118" t="s">
        <v>27</v>
      </c>
      <c r="F118" t="s">
        <v>145</v>
      </c>
      <c r="G118" t="s">
        <v>345</v>
      </c>
    </row>
    <row r="119" spans="1:7" x14ac:dyDescent="0.3">
      <c r="A119" t="s">
        <v>14</v>
      </c>
      <c r="B119">
        <v>1000000118</v>
      </c>
      <c r="C119">
        <v>89000</v>
      </c>
      <c r="D119" t="s">
        <v>24</v>
      </c>
      <c r="E119" t="s">
        <v>28</v>
      </c>
      <c r="F119" t="s">
        <v>146</v>
      </c>
      <c r="G119" t="s">
        <v>346</v>
      </c>
    </row>
    <row r="120" spans="1:7" x14ac:dyDescent="0.3">
      <c r="A120" t="s">
        <v>15</v>
      </c>
      <c r="B120">
        <v>1000000119</v>
      </c>
      <c r="C120">
        <v>46000</v>
      </c>
      <c r="D120" t="s">
        <v>25</v>
      </c>
      <c r="E120" t="s">
        <v>27</v>
      </c>
      <c r="F120" t="s">
        <v>147</v>
      </c>
      <c r="G120" t="s">
        <v>347</v>
      </c>
    </row>
    <row r="121" spans="1:7" x14ac:dyDescent="0.3">
      <c r="A121" t="s">
        <v>16</v>
      </c>
      <c r="B121">
        <v>1000000120</v>
      </c>
      <c r="C121">
        <v>77000</v>
      </c>
      <c r="D121" t="s">
        <v>26</v>
      </c>
      <c r="E121" t="s">
        <v>28</v>
      </c>
      <c r="F121" t="s">
        <v>148</v>
      </c>
      <c r="G121" t="s">
        <v>348</v>
      </c>
    </row>
    <row r="122" spans="1:7" x14ac:dyDescent="0.3">
      <c r="A122" t="s">
        <v>7</v>
      </c>
      <c r="B122">
        <v>1000000121</v>
      </c>
      <c r="C122">
        <v>50000</v>
      </c>
      <c r="D122" t="s">
        <v>17</v>
      </c>
      <c r="E122" t="s">
        <v>27</v>
      </c>
      <c r="F122" t="s">
        <v>149</v>
      </c>
      <c r="G122" t="s">
        <v>349</v>
      </c>
    </row>
    <row r="123" spans="1:7" x14ac:dyDescent="0.3">
      <c r="A123" t="s">
        <v>8</v>
      </c>
      <c r="B123">
        <v>1000000122</v>
      </c>
      <c r="C123">
        <v>75000</v>
      </c>
      <c r="D123" t="s">
        <v>18</v>
      </c>
      <c r="E123" t="s">
        <v>28</v>
      </c>
      <c r="F123" t="s">
        <v>150</v>
      </c>
      <c r="G123" t="s">
        <v>350</v>
      </c>
    </row>
    <row r="124" spans="1:7" x14ac:dyDescent="0.3">
      <c r="A124" t="s">
        <v>9</v>
      </c>
      <c r="B124">
        <v>1000000123</v>
      </c>
      <c r="C124">
        <v>120000</v>
      </c>
      <c r="D124" t="s">
        <v>19</v>
      </c>
      <c r="E124" t="s">
        <v>27</v>
      </c>
      <c r="F124" t="s">
        <v>151</v>
      </c>
      <c r="G124" t="s">
        <v>351</v>
      </c>
    </row>
    <row r="125" spans="1:7" x14ac:dyDescent="0.3">
      <c r="A125" t="s">
        <v>10</v>
      </c>
      <c r="B125">
        <v>1000000124</v>
      </c>
      <c r="C125">
        <v>45000</v>
      </c>
      <c r="D125" t="s">
        <v>20</v>
      </c>
      <c r="E125" t="s">
        <v>28</v>
      </c>
      <c r="F125" t="s">
        <v>152</v>
      </c>
      <c r="G125" t="s">
        <v>352</v>
      </c>
    </row>
    <row r="126" spans="1:7" x14ac:dyDescent="0.3">
      <c r="A126" t="s">
        <v>11</v>
      </c>
      <c r="B126">
        <v>1000000125</v>
      </c>
      <c r="C126">
        <v>98000</v>
      </c>
      <c r="D126" t="s">
        <v>21</v>
      </c>
      <c r="E126" t="s">
        <v>27</v>
      </c>
      <c r="F126" t="s">
        <v>153</v>
      </c>
      <c r="G126" t="s">
        <v>353</v>
      </c>
    </row>
    <row r="127" spans="1:7" x14ac:dyDescent="0.3">
      <c r="A127" t="s">
        <v>12</v>
      </c>
      <c r="B127">
        <v>1000000126</v>
      </c>
      <c r="C127">
        <v>67000</v>
      </c>
      <c r="D127" t="s">
        <v>22</v>
      </c>
      <c r="E127" t="s">
        <v>28</v>
      </c>
      <c r="F127" t="s">
        <v>154</v>
      </c>
      <c r="G127" t="s">
        <v>354</v>
      </c>
    </row>
    <row r="128" spans="1:7" x14ac:dyDescent="0.3">
      <c r="A128" t="s">
        <v>13</v>
      </c>
      <c r="B128">
        <v>1000000127</v>
      </c>
      <c r="C128">
        <v>56000</v>
      </c>
      <c r="D128" t="s">
        <v>23</v>
      </c>
      <c r="E128" t="s">
        <v>27</v>
      </c>
      <c r="F128" t="s">
        <v>155</v>
      </c>
      <c r="G128" t="s">
        <v>355</v>
      </c>
    </row>
    <row r="129" spans="1:7" x14ac:dyDescent="0.3">
      <c r="A129" t="s">
        <v>14</v>
      </c>
      <c r="B129">
        <v>1000000128</v>
      </c>
      <c r="C129">
        <v>89000</v>
      </c>
      <c r="D129" t="s">
        <v>24</v>
      </c>
      <c r="E129" t="s">
        <v>28</v>
      </c>
      <c r="F129" t="s">
        <v>156</v>
      </c>
      <c r="G129" t="s">
        <v>356</v>
      </c>
    </row>
    <row r="130" spans="1:7" x14ac:dyDescent="0.3">
      <c r="A130" t="s">
        <v>15</v>
      </c>
      <c r="B130">
        <v>1000000129</v>
      </c>
      <c r="C130">
        <v>46000</v>
      </c>
      <c r="D130" t="s">
        <v>25</v>
      </c>
      <c r="E130" t="s">
        <v>27</v>
      </c>
      <c r="F130" t="s">
        <v>157</v>
      </c>
      <c r="G130" t="s">
        <v>357</v>
      </c>
    </row>
    <row r="131" spans="1:7" x14ac:dyDescent="0.3">
      <c r="A131" t="s">
        <v>16</v>
      </c>
      <c r="B131">
        <v>1000000130</v>
      </c>
      <c r="C131">
        <v>77000</v>
      </c>
      <c r="D131" t="s">
        <v>26</v>
      </c>
      <c r="E131" t="s">
        <v>28</v>
      </c>
      <c r="F131" t="s">
        <v>158</v>
      </c>
      <c r="G131" t="s">
        <v>358</v>
      </c>
    </row>
    <row r="132" spans="1:7" x14ac:dyDescent="0.3">
      <c r="A132" t="s">
        <v>7</v>
      </c>
      <c r="B132">
        <v>1000000131</v>
      </c>
      <c r="C132">
        <v>50000</v>
      </c>
      <c r="D132" t="s">
        <v>17</v>
      </c>
      <c r="E132" t="s">
        <v>27</v>
      </c>
      <c r="F132" t="s">
        <v>159</v>
      </c>
      <c r="G132" t="s">
        <v>359</v>
      </c>
    </row>
    <row r="133" spans="1:7" x14ac:dyDescent="0.3">
      <c r="A133" t="s">
        <v>8</v>
      </c>
      <c r="B133">
        <v>1000000132</v>
      </c>
      <c r="C133">
        <v>75000</v>
      </c>
      <c r="D133" t="s">
        <v>18</v>
      </c>
      <c r="E133" t="s">
        <v>28</v>
      </c>
      <c r="F133" t="s">
        <v>160</v>
      </c>
      <c r="G133" t="s">
        <v>360</v>
      </c>
    </row>
    <row r="134" spans="1:7" x14ac:dyDescent="0.3">
      <c r="A134" t="s">
        <v>9</v>
      </c>
      <c r="B134">
        <v>1000000133</v>
      </c>
      <c r="C134">
        <v>120000</v>
      </c>
      <c r="D134" t="s">
        <v>19</v>
      </c>
      <c r="E134" t="s">
        <v>27</v>
      </c>
      <c r="F134" t="s">
        <v>161</v>
      </c>
      <c r="G134" t="s">
        <v>361</v>
      </c>
    </row>
    <row r="135" spans="1:7" x14ac:dyDescent="0.3">
      <c r="A135" t="s">
        <v>10</v>
      </c>
      <c r="B135">
        <v>1000000134</v>
      </c>
      <c r="C135">
        <v>45000</v>
      </c>
      <c r="D135" t="s">
        <v>20</v>
      </c>
      <c r="E135" t="s">
        <v>28</v>
      </c>
      <c r="F135" t="s">
        <v>162</v>
      </c>
      <c r="G135" t="s">
        <v>362</v>
      </c>
    </row>
    <row r="136" spans="1:7" x14ac:dyDescent="0.3">
      <c r="A136" t="s">
        <v>11</v>
      </c>
      <c r="B136">
        <v>1000000135</v>
      </c>
      <c r="C136">
        <v>98000</v>
      </c>
      <c r="D136" t="s">
        <v>21</v>
      </c>
      <c r="E136" t="s">
        <v>27</v>
      </c>
      <c r="F136" t="s">
        <v>163</v>
      </c>
      <c r="G136" t="s">
        <v>363</v>
      </c>
    </row>
    <row r="137" spans="1:7" x14ac:dyDescent="0.3">
      <c r="A137" t="s">
        <v>12</v>
      </c>
      <c r="B137">
        <v>1000000136</v>
      </c>
      <c r="C137">
        <v>67000</v>
      </c>
      <c r="D137" t="s">
        <v>22</v>
      </c>
      <c r="E137" t="s">
        <v>28</v>
      </c>
      <c r="F137" t="s">
        <v>164</v>
      </c>
      <c r="G137" t="s">
        <v>364</v>
      </c>
    </row>
    <row r="138" spans="1:7" x14ac:dyDescent="0.3">
      <c r="A138" t="s">
        <v>13</v>
      </c>
      <c r="B138">
        <v>1000000137</v>
      </c>
      <c r="C138">
        <v>56000</v>
      </c>
      <c r="D138" t="s">
        <v>23</v>
      </c>
      <c r="E138" t="s">
        <v>27</v>
      </c>
      <c r="F138" t="s">
        <v>165</v>
      </c>
      <c r="G138" t="s">
        <v>365</v>
      </c>
    </row>
    <row r="139" spans="1:7" x14ac:dyDescent="0.3">
      <c r="A139" t="s">
        <v>14</v>
      </c>
      <c r="B139">
        <v>1000000138</v>
      </c>
      <c r="C139">
        <v>89000</v>
      </c>
      <c r="D139" t="s">
        <v>24</v>
      </c>
      <c r="E139" t="s">
        <v>28</v>
      </c>
      <c r="F139" t="s">
        <v>166</v>
      </c>
      <c r="G139" t="s">
        <v>366</v>
      </c>
    </row>
    <row r="140" spans="1:7" x14ac:dyDescent="0.3">
      <c r="A140" t="s">
        <v>15</v>
      </c>
      <c r="B140">
        <v>1000000139</v>
      </c>
      <c r="C140">
        <v>46000</v>
      </c>
      <c r="D140" t="s">
        <v>25</v>
      </c>
      <c r="E140" t="s">
        <v>27</v>
      </c>
      <c r="F140" t="s">
        <v>167</v>
      </c>
      <c r="G140" t="s">
        <v>367</v>
      </c>
    </row>
    <row r="141" spans="1:7" x14ac:dyDescent="0.3">
      <c r="A141" t="s">
        <v>16</v>
      </c>
      <c r="B141">
        <v>1000000140</v>
      </c>
      <c r="C141">
        <v>77000</v>
      </c>
      <c r="D141" t="s">
        <v>26</v>
      </c>
      <c r="E141" t="s">
        <v>28</v>
      </c>
      <c r="F141" t="s">
        <v>168</v>
      </c>
      <c r="G141" t="s">
        <v>368</v>
      </c>
    </row>
    <row r="142" spans="1:7" x14ac:dyDescent="0.3">
      <c r="A142" t="s">
        <v>7</v>
      </c>
      <c r="B142">
        <v>1000000141</v>
      </c>
      <c r="C142">
        <v>50000</v>
      </c>
      <c r="D142" t="s">
        <v>17</v>
      </c>
      <c r="E142" t="s">
        <v>27</v>
      </c>
      <c r="F142" t="s">
        <v>169</v>
      </c>
      <c r="G142" t="s">
        <v>369</v>
      </c>
    </row>
    <row r="143" spans="1:7" x14ac:dyDescent="0.3">
      <c r="A143" t="s">
        <v>8</v>
      </c>
      <c r="B143">
        <v>1000000142</v>
      </c>
      <c r="C143">
        <v>75000</v>
      </c>
      <c r="D143" t="s">
        <v>18</v>
      </c>
      <c r="E143" t="s">
        <v>28</v>
      </c>
      <c r="F143" t="s">
        <v>170</v>
      </c>
      <c r="G143" t="s">
        <v>370</v>
      </c>
    </row>
    <row r="144" spans="1:7" x14ac:dyDescent="0.3">
      <c r="A144" t="s">
        <v>9</v>
      </c>
      <c r="B144">
        <v>1000000143</v>
      </c>
      <c r="C144">
        <v>120000</v>
      </c>
      <c r="D144" t="s">
        <v>19</v>
      </c>
      <c r="E144" t="s">
        <v>27</v>
      </c>
      <c r="F144" t="s">
        <v>171</v>
      </c>
      <c r="G144" t="s">
        <v>371</v>
      </c>
    </row>
    <row r="145" spans="1:7" x14ac:dyDescent="0.3">
      <c r="A145" t="s">
        <v>10</v>
      </c>
      <c r="B145">
        <v>1000000144</v>
      </c>
      <c r="C145">
        <v>45000</v>
      </c>
      <c r="D145" t="s">
        <v>20</v>
      </c>
      <c r="E145" t="s">
        <v>28</v>
      </c>
      <c r="F145" t="s">
        <v>172</v>
      </c>
      <c r="G145" t="s">
        <v>372</v>
      </c>
    </row>
    <row r="146" spans="1:7" x14ac:dyDescent="0.3">
      <c r="A146" t="s">
        <v>11</v>
      </c>
      <c r="B146">
        <v>1000000145</v>
      </c>
      <c r="C146">
        <v>98000</v>
      </c>
      <c r="D146" t="s">
        <v>21</v>
      </c>
      <c r="E146" t="s">
        <v>27</v>
      </c>
      <c r="F146" t="s">
        <v>173</v>
      </c>
      <c r="G146" t="s">
        <v>373</v>
      </c>
    </row>
    <row r="147" spans="1:7" x14ac:dyDescent="0.3">
      <c r="A147" t="s">
        <v>12</v>
      </c>
      <c r="B147">
        <v>1000000146</v>
      </c>
      <c r="C147">
        <v>67000</v>
      </c>
      <c r="D147" t="s">
        <v>22</v>
      </c>
      <c r="E147" t="s">
        <v>28</v>
      </c>
      <c r="F147" t="s">
        <v>174</v>
      </c>
      <c r="G147" t="s">
        <v>374</v>
      </c>
    </row>
    <row r="148" spans="1:7" x14ac:dyDescent="0.3">
      <c r="A148" t="s">
        <v>13</v>
      </c>
      <c r="B148">
        <v>1000000147</v>
      </c>
      <c r="C148">
        <v>56000</v>
      </c>
      <c r="D148" t="s">
        <v>23</v>
      </c>
      <c r="E148" t="s">
        <v>27</v>
      </c>
      <c r="F148" t="s">
        <v>175</v>
      </c>
      <c r="G148" t="s">
        <v>375</v>
      </c>
    </row>
    <row r="149" spans="1:7" x14ac:dyDescent="0.3">
      <c r="A149" t="s">
        <v>14</v>
      </c>
      <c r="B149">
        <v>1000000148</v>
      </c>
      <c r="C149">
        <v>89000</v>
      </c>
      <c r="D149" t="s">
        <v>24</v>
      </c>
      <c r="E149" t="s">
        <v>28</v>
      </c>
      <c r="F149" t="s">
        <v>176</v>
      </c>
      <c r="G149" t="s">
        <v>376</v>
      </c>
    </row>
    <row r="150" spans="1:7" x14ac:dyDescent="0.3">
      <c r="A150" t="s">
        <v>15</v>
      </c>
      <c r="B150">
        <v>1000000149</v>
      </c>
      <c r="C150">
        <v>46000</v>
      </c>
      <c r="D150" t="s">
        <v>25</v>
      </c>
      <c r="E150" t="s">
        <v>27</v>
      </c>
      <c r="F150" t="s">
        <v>177</v>
      </c>
      <c r="G150" t="s">
        <v>377</v>
      </c>
    </row>
    <row r="151" spans="1:7" x14ac:dyDescent="0.3">
      <c r="A151" t="s">
        <v>16</v>
      </c>
      <c r="B151">
        <v>1000000150</v>
      </c>
      <c r="C151">
        <v>77000</v>
      </c>
      <c r="D151" t="s">
        <v>26</v>
      </c>
      <c r="E151" t="s">
        <v>28</v>
      </c>
      <c r="F151" t="s">
        <v>178</v>
      </c>
      <c r="G151" t="s">
        <v>378</v>
      </c>
    </row>
    <row r="152" spans="1:7" x14ac:dyDescent="0.3">
      <c r="A152" t="s">
        <v>7</v>
      </c>
      <c r="B152">
        <v>1000000151</v>
      </c>
      <c r="C152">
        <v>50000</v>
      </c>
      <c r="D152" t="s">
        <v>17</v>
      </c>
      <c r="E152" t="s">
        <v>27</v>
      </c>
      <c r="F152" t="s">
        <v>179</v>
      </c>
      <c r="G152" t="s">
        <v>379</v>
      </c>
    </row>
    <row r="153" spans="1:7" x14ac:dyDescent="0.3">
      <c r="A153" t="s">
        <v>8</v>
      </c>
      <c r="B153">
        <v>1000000152</v>
      </c>
      <c r="C153">
        <v>75000</v>
      </c>
      <c r="D153" t="s">
        <v>18</v>
      </c>
      <c r="E153" t="s">
        <v>28</v>
      </c>
      <c r="F153" t="s">
        <v>180</v>
      </c>
      <c r="G153" t="s">
        <v>380</v>
      </c>
    </row>
    <row r="154" spans="1:7" x14ac:dyDescent="0.3">
      <c r="A154" t="s">
        <v>9</v>
      </c>
      <c r="B154">
        <v>1000000153</v>
      </c>
      <c r="C154">
        <v>120000</v>
      </c>
      <c r="D154" t="s">
        <v>19</v>
      </c>
      <c r="E154" t="s">
        <v>27</v>
      </c>
      <c r="F154" t="s">
        <v>181</v>
      </c>
      <c r="G154" t="s">
        <v>381</v>
      </c>
    </row>
    <row r="155" spans="1:7" x14ac:dyDescent="0.3">
      <c r="A155" t="s">
        <v>10</v>
      </c>
      <c r="B155">
        <v>1000000154</v>
      </c>
      <c r="C155">
        <v>45000</v>
      </c>
      <c r="D155" t="s">
        <v>20</v>
      </c>
      <c r="E155" t="s">
        <v>28</v>
      </c>
      <c r="F155" t="s">
        <v>182</v>
      </c>
      <c r="G155" t="s">
        <v>382</v>
      </c>
    </row>
    <row r="156" spans="1:7" x14ac:dyDescent="0.3">
      <c r="A156" t="s">
        <v>11</v>
      </c>
      <c r="B156">
        <v>1000000155</v>
      </c>
      <c r="C156">
        <v>98000</v>
      </c>
      <c r="D156" t="s">
        <v>21</v>
      </c>
      <c r="E156" t="s">
        <v>27</v>
      </c>
      <c r="F156" t="s">
        <v>183</v>
      </c>
      <c r="G156" t="s">
        <v>383</v>
      </c>
    </row>
    <row r="157" spans="1:7" x14ac:dyDescent="0.3">
      <c r="A157" t="s">
        <v>12</v>
      </c>
      <c r="B157">
        <v>1000000156</v>
      </c>
      <c r="C157">
        <v>67000</v>
      </c>
      <c r="D157" t="s">
        <v>22</v>
      </c>
      <c r="E157" t="s">
        <v>28</v>
      </c>
      <c r="F157" t="s">
        <v>184</v>
      </c>
      <c r="G157" t="s">
        <v>384</v>
      </c>
    </row>
    <row r="158" spans="1:7" x14ac:dyDescent="0.3">
      <c r="A158" t="s">
        <v>13</v>
      </c>
      <c r="B158">
        <v>1000000157</v>
      </c>
      <c r="C158">
        <v>56000</v>
      </c>
      <c r="D158" t="s">
        <v>23</v>
      </c>
      <c r="E158" t="s">
        <v>27</v>
      </c>
      <c r="F158" t="s">
        <v>185</v>
      </c>
      <c r="G158" t="s">
        <v>385</v>
      </c>
    </row>
    <row r="159" spans="1:7" x14ac:dyDescent="0.3">
      <c r="A159" t="s">
        <v>14</v>
      </c>
      <c r="B159">
        <v>1000000158</v>
      </c>
      <c r="C159">
        <v>89000</v>
      </c>
      <c r="D159" t="s">
        <v>24</v>
      </c>
      <c r="E159" t="s">
        <v>28</v>
      </c>
      <c r="F159" t="s">
        <v>186</v>
      </c>
      <c r="G159" t="s">
        <v>386</v>
      </c>
    </row>
    <row r="160" spans="1:7" x14ac:dyDescent="0.3">
      <c r="A160" t="s">
        <v>15</v>
      </c>
      <c r="B160">
        <v>1000000159</v>
      </c>
      <c r="C160">
        <v>46000</v>
      </c>
      <c r="D160" t="s">
        <v>25</v>
      </c>
      <c r="E160" t="s">
        <v>27</v>
      </c>
      <c r="F160" t="s">
        <v>187</v>
      </c>
      <c r="G160" t="s">
        <v>387</v>
      </c>
    </row>
    <row r="161" spans="1:7" x14ac:dyDescent="0.3">
      <c r="A161" t="s">
        <v>16</v>
      </c>
      <c r="B161">
        <v>1000000160</v>
      </c>
      <c r="C161">
        <v>77000</v>
      </c>
      <c r="D161" t="s">
        <v>26</v>
      </c>
      <c r="E161" t="s">
        <v>28</v>
      </c>
      <c r="F161" t="s">
        <v>188</v>
      </c>
      <c r="G161" t="s">
        <v>388</v>
      </c>
    </row>
    <row r="162" spans="1:7" x14ac:dyDescent="0.3">
      <c r="A162" t="s">
        <v>7</v>
      </c>
      <c r="B162">
        <v>1000000161</v>
      </c>
      <c r="C162">
        <v>50000</v>
      </c>
      <c r="D162" t="s">
        <v>17</v>
      </c>
      <c r="E162" t="s">
        <v>27</v>
      </c>
      <c r="F162" t="s">
        <v>189</v>
      </c>
      <c r="G162" t="s">
        <v>389</v>
      </c>
    </row>
    <row r="163" spans="1:7" x14ac:dyDescent="0.3">
      <c r="A163" t="s">
        <v>8</v>
      </c>
      <c r="B163">
        <v>1000000162</v>
      </c>
      <c r="C163">
        <v>75000</v>
      </c>
      <c r="D163" t="s">
        <v>18</v>
      </c>
      <c r="E163" t="s">
        <v>28</v>
      </c>
      <c r="F163" t="s">
        <v>190</v>
      </c>
      <c r="G163" t="s">
        <v>390</v>
      </c>
    </row>
    <row r="164" spans="1:7" x14ac:dyDescent="0.3">
      <c r="A164" t="s">
        <v>9</v>
      </c>
      <c r="B164">
        <v>1000000163</v>
      </c>
      <c r="C164">
        <v>120000</v>
      </c>
      <c r="D164" t="s">
        <v>19</v>
      </c>
      <c r="E164" t="s">
        <v>27</v>
      </c>
      <c r="F164" t="s">
        <v>191</v>
      </c>
      <c r="G164" t="s">
        <v>391</v>
      </c>
    </row>
    <row r="165" spans="1:7" x14ac:dyDescent="0.3">
      <c r="A165" t="s">
        <v>10</v>
      </c>
      <c r="B165">
        <v>1000000164</v>
      </c>
      <c r="C165">
        <v>45000</v>
      </c>
      <c r="D165" t="s">
        <v>20</v>
      </c>
      <c r="E165" t="s">
        <v>28</v>
      </c>
      <c r="F165" t="s">
        <v>192</v>
      </c>
      <c r="G165" t="s">
        <v>392</v>
      </c>
    </row>
    <row r="166" spans="1:7" x14ac:dyDescent="0.3">
      <c r="A166" t="s">
        <v>11</v>
      </c>
      <c r="B166">
        <v>1000000165</v>
      </c>
      <c r="C166">
        <v>98000</v>
      </c>
      <c r="D166" t="s">
        <v>21</v>
      </c>
      <c r="E166" t="s">
        <v>27</v>
      </c>
      <c r="F166" t="s">
        <v>193</v>
      </c>
      <c r="G166" t="s">
        <v>393</v>
      </c>
    </row>
    <row r="167" spans="1:7" x14ac:dyDescent="0.3">
      <c r="A167" t="s">
        <v>12</v>
      </c>
      <c r="B167">
        <v>1000000166</v>
      </c>
      <c r="C167">
        <v>67000</v>
      </c>
      <c r="D167" t="s">
        <v>22</v>
      </c>
      <c r="E167" t="s">
        <v>28</v>
      </c>
      <c r="F167" t="s">
        <v>194</v>
      </c>
      <c r="G167" t="s">
        <v>394</v>
      </c>
    </row>
    <row r="168" spans="1:7" x14ac:dyDescent="0.3">
      <c r="A168" t="s">
        <v>13</v>
      </c>
      <c r="B168">
        <v>1000000167</v>
      </c>
      <c r="C168">
        <v>56000</v>
      </c>
      <c r="D168" t="s">
        <v>23</v>
      </c>
      <c r="E168" t="s">
        <v>27</v>
      </c>
      <c r="F168" t="s">
        <v>195</v>
      </c>
      <c r="G168" t="s">
        <v>395</v>
      </c>
    </row>
    <row r="169" spans="1:7" x14ac:dyDescent="0.3">
      <c r="A169" t="s">
        <v>14</v>
      </c>
      <c r="B169">
        <v>1000000168</v>
      </c>
      <c r="C169">
        <v>89000</v>
      </c>
      <c r="D169" t="s">
        <v>24</v>
      </c>
      <c r="E169" t="s">
        <v>28</v>
      </c>
      <c r="F169" t="s">
        <v>196</v>
      </c>
      <c r="G169" t="s">
        <v>396</v>
      </c>
    </row>
    <row r="170" spans="1:7" x14ac:dyDescent="0.3">
      <c r="A170" t="s">
        <v>15</v>
      </c>
      <c r="B170">
        <v>1000000169</v>
      </c>
      <c r="C170">
        <v>46000</v>
      </c>
      <c r="D170" t="s">
        <v>25</v>
      </c>
      <c r="E170" t="s">
        <v>27</v>
      </c>
      <c r="F170" t="s">
        <v>197</v>
      </c>
      <c r="G170" t="s">
        <v>397</v>
      </c>
    </row>
    <row r="171" spans="1:7" x14ac:dyDescent="0.3">
      <c r="A171" t="s">
        <v>16</v>
      </c>
      <c r="B171">
        <v>1000000170</v>
      </c>
      <c r="C171">
        <v>77000</v>
      </c>
      <c r="D171" t="s">
        <v>26</v>
      </c>
      <c r="E171" t="s">
        <v>28</v>
      </c>
      <c r="F171" t="s">
        <v>198</v>
      </c>
      <c r="G171" t="s">
        <v>398</v>
      </c>
    </row>
    <row r="172" spans="1:7" x14ac:dyDescent="0.3">
      <c r="A172" t="s">
        <v>7</v>
      </c>
      <c r="B172">
        <v>1000000171</v>
      </c>
      <c r="C172">
        <v>50000</v>
      </c>
      <c r="D172" t="s">
        <v>17</v>
      </c>
      <c r="E172" t="s">
        <v>27</v>
      </c>
      <c r="F172" t="s">
        <v>199</v>
      </c>
      <c r="G172" t="s">
        <v>399</v>
      </c>
    </row>
    <row r="173" spans="1:7" x14ac:dyDescent="0.3">
      <c r="A173" t="s">
        <v>8</v>
      </c>
      <c r="B173">
        <v>1000000172</v>
      </c>
      <c r="C173">
        <v>75000</v>
      </c>
      <c r="D173" t="s">
        <v>18</v>
      </c>
      <c r="E173" t="s">
        <v>28</v>
      </c>
      <c r="F173" t="s">
        <v>200</v>
      </c>
      <c r="G173" t="s">
        <v>400</v>
      </c>
    </row>
    <row r="174" spans="1:7" x14ac:dyDescent="0.3">
      <c r="A174" t="s">
        <v>9</v>
      </c>
      <c r="B174">
        <v>1000000173</v>
      </c>
      <c r="C174">
        <v>120000</v>
      </c>
      <c r="D174" t="s">
        <v>19</v>
      </c>
      <c r="E174" t="s">
        <v>27</v>
      </c>
      <c r="F174" t="s">
        <v>201</v>
      </c>
      <c r="G174" t="s">
        <v>401</v>
      </c>
    </row>
    <row r="175" spans="1:7" x14ac:dyDescent="0.3">
      <c r="A175" t="s">
        <v>10</v>
      </c>
      <c r="B175">
        <v>1000000174</v>
      </c>
      <c r="C175">
        <v>45000</v>
      </c>
      <c r="D175" t="s">
        <v>20</v>
      </c>
      <c r="E175" t="s">
        <v>28</v>
      </c>
      <c r="F175" t="s">
        <v>202</v>
      </c>
      <c r="G175" t="s">
        <v>402</v>
      </c>
    </row>
    <row r="176" spans="1:7" x14ac:dyDescent="0.3">
      <c r="A176" t="s">
        <v>11</v>
      </c>
      <c r="B176">
        <v>1000000175</v>
      </c>
      <c r="C176">
        <v>98000</v>
      </c>
      <c r="D176" t="s">
        <v>21</v>
      </c>
      <c r="E176" t="s">
        <v>27</v>
      </c>
      <c r="F176" t="s">
        <v>203</v>
      </c>
      <c r="G176" t="s">
        <v>403</v>
      </c>
    </row>
    <row r="177" spans="1:7" x14ac:dyDescent="0.3">
      <c r="A177" t="s">
        <v>12</v>
      </c>
      <c r="B177">
        <v>1000000176</v>
      </c>
      <c r="C177">
        <v>67000</v>
      </c>
      <c r="D177" t="s">
        <v>22</v>
      </c>
      <c r="E177" t="s">
        <v>28</v>
      </c>
      <c r="F177" t="s">
        <v>204</v>
      </c>
      <c r="G177" t="s">
        <v>404</v>
      </c>
    </row>
    <row r="178" spans="1:7" x14ac:dyDescent="0.3">
      <c r="A178" t="s">
        <v>13</v>
      </c>
      <c r="B178">
        <v>1000000177</v>
      </c>
      <c r="C178">
        <v>56000</v>
      </c>
      <c r="D178" t="s">
        <v>23</v>
      </c>
      <c r="E178" t="s">
        <v>27</v>
      </c>
      <c r="F178" t="s">
        <v>205</v>
      </c>
      <c r="G178" t="s">
        <v>405</v>
      </c>
    </row>
    <row r="179" spans="1:7" x14ac:dyDescent="0.3">
      <c r="A179" t="s">
        <v>14</v>
      </c>
      <c r="B179">
        <v>1000000178</v>
      </c>
      <c r="C179">
        <v>89000</v>
      </c>
      <c r="D179" t="s">
        <v>24</v>
      </c>
      <c r="E179" t="s">
        <v>28</v>
      </c>
      <c r="F179" t="s">
        <v>206</v>
      </c>
      <c r="G179" t="s">
        <v>406</v>
      </c>
    </row>
    <row r="180" spans="1:7" x14ac:dyDescent="0.3">
      <c r="A180" t="s">
        <v>15</v>
      </c>
      <c r="B180">
        <v>1000000179</v>
      </c>
      <c r="C180">
        <v>46000</v>
      </c>
      <c r="D180" t="s">
        <v>25</v>
      </c>
      <c r="E180" t="s">
        <v>27</v>
      </c>
      <c r="F180" t="s">
        <v>207</v>
      </c>
      <c r="G180" t="s">
        <v>407</v>
      </c>
    </row>
    <row r="181" spans="1:7" x14ac:dyDescent="0.3">
      <c r="A181" t="s">
        <v>16</v>
      </c>
      <c r="B181">
        <v>1000000180</v>
      </c>
      <c r="C181">
        <v>77000</v>
      </c>
      <c r="D181" t="s">
        <v>26</v>
      </c>
      <c r="E181" t="s">
        <v>28</v>
      </c>
      <c r="F181" t="s">
        <v>208</v>
      </c>
      <c r="G181" t="s">
        <v>408</v>
      </c>
    </row>
    <row r="182" spans="1:7" x14ac:dyDescent="0.3">
      <c r="A182" t="s">
        <v>7</v>
      </c>
      <c r="B182">
        <v>1000000181</v>
      </c>
      <c r="C182">
        <v>50000</v>
      </c>
      <c r="D182" t="s">
        <v>17</v>
      </c>
      <c r="E182" t="s">
        <v>27</v>
      </c>
      <c r="F182" t="s">
        <v>209</v>
      </c>
      <c r="G182" t="s">
        <v>409</v>
      </c>
    </row>
    <row r="183" spans="1:7" x14ac:dyDescent="0.3">
      <c r="A183" t="s">
        <v>8</v>
      </c>
      <c r="B183">
        <v>1000000182</v>
      </c>
      <c r="C183">
        <v>75000</v>
      </c>
      <c r="D183" t="s">
        <v>18</v>
      </c>
      <c r="E183" t="s">
        <v>28</v>
      </c>
      <c r="F183" t="s">
        <v>210</v>
      </c>
      <c r="G183" t="s">
        <v>410</v>
      </c>
    </row>
    <row r="184" spans="1:7" x14ac:dyDescent="0.3">
      <c r="A184" t="s">
        <v>9</v>
      </c>
      <c r="B184">
        <v>1000000183</v>
      </c>
      <c r="C184">
        <v>120000</v>
      </c>
      <c r="D184" t="s">
        <v>19</v>
      </c>
      <c r="E184" t="s">
        <v>27</v>
      </c>
      <c r="F184" t="s">
        <v>211</v>
      </c>
      <c r="G184" t="s">
        <v>411</v>
      </c>
    </row>
    <row r="185" spans="1:7" x14ac:dyDescent="0.3">
      <c r="A185" t="s">
        <v>10</v>
      </c>
      <c r="B185">
        <v>1000000184</v>
      </c>
      <c r="C185">
        <v>45000</v>
      </c>
      <c r="D185" t="s">
        <v>20</v>
      </c>
      <c r="E185" t="s">
        <v>28</v>
      </c>
      <c r="F185" t="s">
        <v>212</v>
      </c>
      <c r="G185" t="s">
        <v>412</v>
      </c>
    </row>
    <row r="186" spans="1:7" x14ac:dyDescent="0.3">
      <c r="A186" t="s">
        <v>11</v>
      </c>
      <c r="B186">
        <v>1000000185</v>
      </c>
      <c r="C186">
        <v>98000</v>
      </c>
      <c r="D186" t="s">
        <v>21</v>
      </c>
      <c r="E186" t="s">
        <v>27</v>
      </c>
      <c r="F186" t="s">
        <v>213</v>
      </c>
      <c r="G186" t="s">
        <v>413</v>
      </c>
    </row>
    <row r="187" spans="1:7" x14ac:dyDescent="0.3">
      <c r="A187" t="s">
        <v>12</v>
      </c>
      <c r="B187">
        <v>1000000186</v>
      </c>
      <c r="C187">
        <v>67000</v>
      </c>
      <c r="D187" t="s">
        <v>22</v>
      </c>
      <c r="E187" t="s">
        <v>28</v>
      </c>
      <c r="F187" t="s">
        <v>214</v>
      </c>
      <c r="G187" t="s">
        <v>414</v>
      </c>
    </row>
    <row r="188" spans="1:7" x14ac:dyDescent="0.3">
      <c r="A188" t="s">
        <v>13</v>
      </c>
      <c r="B188">
        <v>1000000187</v>
      </c>
      <c r="C188">
        <v>56000</v>
      </c>
      <c r="D188" t="s">
        <v>23</v>
      </c>
      <c r="E188" t="s">
        <v>27</v>
      </c>
      <c r="F188" t="s">
        <v>215</v>
      </c>
      <c r="G188" t="s">
        <v>415</v>
      </c>
    </row>
    <row r="189" spans="1:7" x14ac:dyDescent="0.3">
      <c r="A189" t="s">
        <v>14</v>
      </c>
      <c r="B189">
        <v>1000000188</v>
      </c>
      <c r="C189">
        <v>89000</v>
      </c>
      <c r="D189" t="s">
        <v>24</v>
      </c>
      <c r="E189" t="s">
        <v>28</v>
      </c>
      <c r="F189" t="s">
        <v>216</v>
      </c>
      <c r="G189" t="s">
        <v>416</v>
      </c>
    </row>
    <row r="190" spans="1:7" x14ac:dyDescent="0.3">
      <c r="A190" t="s">
        <v>15</v>
      </c>
      <c r="B190">
        <v>1000000189</v>
      </c>
      <c r="C190">
        <v>46000</v>
      </c>
      <c r="D190" t="s">
        <v>25</v>
      </c>
      <c r="E190" t="s">
        <v>27</v>
      </c>
      <c r="F190" t="s">
        <v>217</v>
      </c>
      <c r="G190" t="s">
        <v>417</v>
      </c>
    </row>
    <row r="191" spans="1:7" x14ac:dyDescent="0.3">
      <c r="A191" t="s">
        <v>16</v>
      </c>
      <c r="B191">
        <v>1000000190</v>
      </c>
      <c r="C191">
        <v>77000</v>
      </c>
      <c r="D191" t="s">
        <v>26</v>
      </c>
      <c r="E191" t="s">
        <v>28</v>
      </c>
      <c r="F191" t="s">
        <v>218</v>
      </c>
      <c r="G191" t="s">
        <v>418</v>
      </c>
    </row>
    <row r="192" spans="1:7" x14ac:dyDescent="0.3">
      <c r="A192" t="s">
        <v>7</v>
      </c>
      <c r="B192">
        <v>1000000191</v>
      </c>
      <c r="C192">
        <v>50000</v>
      </c>
      <c r="D192" t="s">
        <v>17</v>
      </c>
      <c r="E192" t="s">
        <v>27</v>
      </c>
      <c r="F192" t="s">
        <v>219</v>
      </c>
      <c r="G192" t="s">
        <v>419</v>
      </c>
    </row>
    <row r="193" spans="1:7" x14ac:dyDescent="0.3">
      <c r="A193" t="s">
        <v>8</v>
      </c>
      <c r="B193">
        <v>1000000192</v>
      </c>
      <c r="C193">
        <v>75000</v>
      </c>
      <c r="D193" t="s">
        <v>18</v>
      </c>
      <c r="E193" t="s">
        <v>28</v>
      </c>
      <c r="F193" t="s">
        <v>220</v>
      </c>
      <c r="G193" t="s">
        <v>420</v>
      </c>
    </row>
    <row r="194" spans="1:7" x14ac:dyDescent="0.3">
      <c r="A194" t="s">
        <v>9</v>
      </c>
      <c r="B194">
        <v>1000000193</v>
      </c>
      <c r="C194">
        <v>120000</v>
      </c>
      <c r="D194" t="s">
        <v>19</v>
      </c>
      <c r="E194" t="s">
        <v>27</v>
      </c>
      <c r="F194" t="s">
        <v>221</v>
      </c>
      <c r="G194" t="s">
        <v>421</v>
      </c>
    </row>
    <row r="195" spans="1:7" x14ac:dyDescent="0.3">
      <c r="A195" t="s">
        <v>10</v>
      </c>
      <c r="B195">
        <v>1000000194</v>
      </c>
      <c r="C195">
        <v>45000</v>
      </c>
      <c r="D195" t="s">
        <v>20</v>
      </c>
      <c r="E195" t="s">
        <v>28</v>
      </c>
      <c r="F195" t="s">
        <v>222</v>
      </c>
      <c r="G195" t="s">
        <v>422</v>
      </c>
    </row>
    <row r="196" spans="1:7" x14ac:dyDescent="0.3">
      <c r="A196" t="s">
        <v>11</v>
      </c>
      <c r="B196">
        <v>1000000195</v>
      </c>
      <c r="C196">
        <v>98000</v>
      </c>
      <c r="D196" t="s">
        <v>21</v>
      </c>
      <c r="E196" t="s">
        <v>27</v>
      </c>
      <c r="F196" t="s">
        <v>223</v>
      </c>
      <c r="G196" t="s">
        <v>423</v>
      </c>
    </row>
    <row r="197" spans="1:7" x14ac:dyDescent="0.3">
      <c r="A197" t="s">
        <v>12</v>
      </c>
      <c r="B197">
        <v>1000000196</v>
      </c>
      <c r="C197">
        <v>67000</v>
      </c>
      <c r="D197" t="s">
        <v>22</v>
      </c>
      <c r="E197" t="s">
        <v>28</v>
      </c>
      <c r="F197" t="s">
        <v>224</v>
      </c>
      <c r="G197" t="s">
        <v>424</v>
      </c>
    </row>
    <row r="198" spans="1:7" x14ac:dyDescent="0.3">
      <c r="A198" t="s">
        <v>13</v>
      </c>
      <c r="B198">
        <v>1000000197</v>
      </c>
      <c r="C198">
        <v>56000</v>
      </c>
      <c r="D198" t="s">
        <v>23</v>
      </c>
      <c r="E198" t="s">
        <v>27</v>
      </c>
      <c r="F198" t="s">
        <v>225</v>
      </c>
      <c r="G198" t="s">
        <v>425</v>
      </c>
    </row>
    <row r="199" spans="1:7" x14ac:dyDescent="0.3">
      <c r="A199" t="s">
        <v>14</v>
      </c>
      <c r="B199">
        <v>1000000198</v>
      </c>
      <c r="C199">
        <v>89000</v>
      </c>
      <c r="D199" t="s">
        <v>24</v>
      </c>
      <c r="E199" t="s">
        <v>28</v>
      </c>
      <c r="F199" t="s">
        <v>226</v>
      </c>
      <c r="G199" t="s">
        <v>426</v>
      </c>
    </row>
    <row r="200" spans="1:7" x14ac:dyDescent="0.3">
      <c r="A200" t="s">
        <v>15</v>
      </c>
      <c r="B200">
        <v>1000000199</v>
      </c>
      <c r="C200">
        <v>46000</v>
      </c>
      <c r="D200" t="s">
        <v>25</v>
      </c>
      <c r="E200" t="s">
        <v>27</v>
      </c>
      <c r="F200" t="s">
        <v>227</v>
      </c>
      <c r="G200" t="s">
        <v>427</v>
      </c>
    </row>
    <row r="201" spans="1:7" x14ac:dyDescent="0.3">
      <c r="A201" t="s">
        <v>16</v>
      </c>
      <c r="B201">
        <v>1000000200</v>
      </c>
      <c r="C201">
        <v>77000</v>
      </c>
      <c r="D201" t="s">
        <v>26</v>
      </c>
      <c r="E201" t="s">
        <v>28</v>
      </c>
      <c r="F201" t="s">
        <v>228</v>
      </c>
      <c r="G201" t="s">
        <v>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417C7-A3BB-44F5-BB4B-91D54C78A811}">
  <dimension ref="A1:K213"/>
  <sheetViews>
    <sheetView topLeftCell="E1" zoomScale="130" zoomScaleNormal="130" workbookViewId="0">
      <selection activeCell="G7" sqref="G7"/>
    </sheetView>
  </sheetViews>
  <sheetFormatPr defaultRowHeight="14.4" x14ac:dyDescent="0.3"/>
  <cols>
    <col min="1" max="1" width="15.21875" bestFit="1" customWidth="1"/>
    <col min="2" max="2" width="17.44140625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6" customWidth="1"/>
    <col min="10" max="10" width="17.88671875" customWidth="1"/>
    <col min="11" max="11" width="20.441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1" x14ac:dyDescent="0.3">
      <c r="A2" t="s">
        <v>7</v>
      </c>
      <c r="B2">
        <v>1000000001</v>
      </c>
      <c r="C2">
        <v>50000</v>
      </c>
      <c r="D2" t="s">
        <v>17</v>
      </c>
      <c r="E2" t="s">
        <v>27</v>
      </c>
      <c r="F2" t="s">
        <v>29</v>
      </c>
      <c r="G2" t="s">
        <v>229</v>
      </c>
    </row>
    <row r="3" spans="1:11" x14ac:dyDescent="0.3">
      <c r="A3" t="s">
        <v>8</v>
      </c>
      <c r="B3">
        <v>1000000002</v>
      </c>
      <c r="C3">
        <v>75000</v>
      </c>
      <c r="D3" t="s">
        <v>18</v>
      </c>
      <c r="E3" t="s">
        <v>28</v>
      </c>
      <c r="F3" t="s">
        <v>30</v>
      </c>
      <c r="G3" t="s">
        <v>230</v>
      </c>
    </row>
    <row r="4" spans="1:11" x14ac:dyDescent="0.3">
      <c r="A4" t="s">
        <v>9</v>
      </c>
      <c r="B4">
        <v>1000000003</v>
      </c>
      <c r="C4">
        <v>120000</v>
      </c>
      <c r="D4" t="s">
        <v>19</v>
      </c>
      <c r="E4" t="s">
        <v>27</v>
      </c>
      <c r="F4" t="s">
        <v>31</v>
      </c>
      <c r="G4" t="s">
        <v>231</v>
      </c>
      <c r="J4" s="2" t="s">
        <v>1</v>
      </c>
      <c r="K4">
        <v>1000000005</v>
      </c>
    </row>
    <row r="5" spans="1:11" x14ac:dyDescent="0.3">
      <c r="A5" t="s">
        <v>10</v>
      </c>
      <c r="B5">
        <v>1000000004</v>
      </c>
      <c r="C5">
        <v>45000</v>
      </c>
      <c r="D5" t="s">
        <v>20</v>
      </c>
      <c r="E5" t="s">
        <v>28</v>
      </c>
      <c r="F5" t="s">
        <v>32</v>
      </c>
      <c r="G5" t="s">
        <v>232</v>
      </c>
      <c r="J5" s="1" t="s">
        <v>2</v>
      </c>
      <c r="K5" cm="1">
        <f t="array" ref="K5">_xlfn.XLOOKUP($K$4,$B$1:$B$201,INDEX($A$1:$G$201,,MATCH(J5,$A$1:$G$1,0)))</f>
        <v>98000</v>
      </c>
    </row>
    <row r="6" spans="1:11" x14ac:dyDescent="0.3">
      <c r="A6" t="s">
        <v>11</v>
      </c>
      <c r="B6">
        <v>1000000005</v>
      </c>
      <c r="C6">
        <v>98000</v>
      </c>
      <c r="D6" t="s">
        <v>21</v>
      </c>
      <c r="E6" t="s">
        <v>27</v>
      </c>
      <c r="F6" t="s">
        <v>33</v>
      </c>
      <c r="G6" t="s">
        <v>233</v>
      </c>
      <c r="J6" s="2" t="s">
        <v>3</v>
      </c>
      <c r="K6" t="str" cm="1">
        <f t="array" ref="K6">_xlfn.XLOOKUP($K$4,$B$1:$B$201,INDEX($A$1:$G$201,,MATCH(J6,$A$1:$G$1,0)))</f>
        <v>Hyderabad</v>
      </c>
    </row>
    <row r="7" spans="1:11" x14ac:dyDescent="0.3">
      <c r="A7" t="s">
        <v>12</v>
      </c>
      <c r="B7">
        <v>1000000006</v>
      </c>
      <c r="C7">
        <v>67000</v>
      </c>
      <c r="D7" t="s">
        <v>22</v>
      </c>
      <c r="E7" t="s">
        <v>28</v>
      </c>
      <c r="F7" t="s">
        <v>34</v>
      </c>
      <c r="G7" t="s">
        <v>234</v>
      </c>
      <c r="J7" s="2" t="s">
        <v>4</v>
      </c>
      <c r="K7" t="str" cm="1">
        <f t="array" ref="K7">_xlfn.XLOOKUP($K$4,$B$1:$B$201,INDEX($A$1:$G$201,,MATCH(J7,$A$1:$G$1,0)))</f>
        <v>Savings</v>
      </c>
    </row>
    <row r="8" spans="1:11" x14ac:dyDescent="0.3">
      <c r="A8" t="s">
        <v>13</v>
      </c>
      <c r="B8">
        <v>1000000007</v>
      </c>
      <c r="C8">
        <v>56000</v>
      </c>
      <c r="D8" t="s">
        <v>23</v>
      </c>
      <c r="E8" t="s">
        <v>27</v>
      </c>
      <c r="F8" t="s">
        <v>35</v>
      </c>
      <c r="G8" t="s">
        <v>235</v>
      </c>
      <c r="J8" s="2" t="s">
        <v>5</v>
      </c>
      <c r="K8" t="str" cm="1">
        <f t="array" ref="K8">_xlfn.XLOOKUP($K$4,$B$1:$B$201,INDEX($A$1:$G$201,,MATCH(J8,$A$1:$G$1,0)))</f>
        <v>customer5@email.com</v>
      </c>
    </row>
    <row r="9" spans="1:11" x14ac:dyDescent="0.3">
      <c r="A9" t="s">
        <v>14</v>
      </c>
      <c r="B9">
        <v>1000000008</v>
      </c>
      <c r="C9">
        <v>89000</v>
      </c>
      <c r="D9" t="s">
        <v>24</v>
      </c>
      <c r="E9" t="s">
        <v>28</v>
      </c>
      <c r="F9" t="s">
        <v>36</v>
      </c>
      <c r="G9" t="s">
        <v>236</v>
      </c>
      <c r="J9" s="2" t="s">
        <v>6</v>
      </c>
      <c r="K9" t="str" cm="1">
        <f t="array" ref="K9">_xlfn.XLOOKUP($K$4,$B$1:$B$201,INDEX($A$1:$G$201,,MATCH(J9,$A$1:$G$1,0)))</f>
        <v>+91-987650004</v>
      </c>
    </row>
    <row r="10" spans="1:11" x14ac:dyDescent="0.3">
      <c r="A10" t="s">
        <v>15</v>
      </c>
      <c r="B10">
        <v>1000000009</v>
      </c>
      <c r="C10">
        <v>46000</v>
      </c>
      <c r="D10" t="s">
        <v>25</v>
      </c>
      <c r="E10" t="s">
        <v>27</v>
      </c>
      <c r="F10" t="s">
        <v>37</v>
      </c>
      <c r="G10" t="s">
        <v>237</v>
      </c>
      <c r="J10" s="2" t="s">
        <v>0</v>
      </c>
      <c r="K10" t="str" cm="1">
        <f t="array" ref="K10">_xlfn.XLOOKUP($K$4,$B$1:$B$201,INDEX($A$1:$G$201,,MATCH(J10,$A$1:$G$1,0)))</f>
        <v>Ishaan Joshi</v>
      </c>
    </row>
    <row r="11" spans="1:11" x14ac:dyDescent="0.3">
      <c r="A11" t="s">
        <v>16</v>
      </c>
      <c r="B11">
        <v>1000000010</v>
      </c>
      <c r="C11">
        <v>77000</v>
      </c>
      <c r="D11" t="s">
        <v>26</v>
      </c>
      <c r="E11" t="s">
        <v>28</v>
      </c>
      <c r="F11" t="s">
        <v>38</v>
      </c>
      <c r="G11" t="s">
        <v>238</v>
      </c>
    </row>
    <row r="12" spans="1:11" x14ac:dyDescent="0.3">
      <c r="A12" t="s">
        <v>7</v>
      </c>
      <c r="B12">
        <v>1000000011</v>
      </c>
      <c r="C12">
        <v>50000</v>
      </c>
      <c r="D12" t="s">
        <v>17</v>
      </c>
      <c r="E12" t="s">
        <v>27</v>
      </c>
      <c r="F12" t="s">
        <v>39</v>
      </c>
      <c r="G12" t="s">
        <v>239</v>
      </c>
    </row>
    <row r="13" spans="1:11" x14ac:dyDescent="0.3">
      <c r="A13" t="s">
        <v>8</v>
      </c>
      <c r="B13">
        <v>1000000012</v>
      </c>
      <c r="C13">
        <v>75000</v>
      </c>
      <c r="D13" t="s">
        <v>18</v>
      </c>
      <c r="E13" t="s">
        <v>28</v>
      </c>
      <c r="F13" t="s">
        <v>40</v>
      </c>
      <c r="G13" t="s">
        <v>240</v>
      </c>
      <c r="J13" t="str" cm="1">
        <f t="array" ref="J13:J213">INDEX(A1:G201,,MATCH(J5,A1:G1,0))</f>
        <v>Balance (INR)</v>
      </c>
    </row>
    <row r="14" spans="1:11" x14ac:dyDescent="0.3">
      <c r="A14" t="s">
        <v>9</v>
      </c>
      <c r="B14">
        <v>1000000013</v>
      </c>
      <c r="C14">
        <v>120000</v>
      </c>
      <c r="D14" t="s">
        <v>19</v>
      </c>
      <c r="E14" t="s">
        <v>27</v>
      </c>
      <c r="F14" t="s">
        <v>41</v>
      </c>
      <c r="G14" t="s">
        <v>241</v>
      </c>
      <c r="J14">
        <v>50000</v>
      </c>
    </row>
    <row r="15" spans="1:11" x14ac:dyDescent="0.3">
      <c r="A15" t="s">
        <v>10</v>
      </c>
      <c r="B15">
        <v>1000000014</v>
      </c>
      <c r="C15">
        <v>45000</v>
      </c>
      <c r="D15" t="s">
        <v>20</v>
      </c>
      <c r="E15" t="s">
        <v>28</v>
      </c>
      <c r="F15" t="s">
        <v>42</v>
      </c>
      <c r="G15" t="s">
        <v>242</v>
      </c>
      <c r="J15">
        <v>75000</v>
      </c>
    </row>
    <row r="16" spans="1:11" x14ac:dyDescent="0.3">
      <c r="A16" t="s">
        <v>11</v>
      </c>
      <c r="B16">
        <v>1000000015</v>
      </c>
      <c r="C16">
        <v>98000</v>
      </c>
      <c r="D16" t="s">
        <v>21</v>
      </c>
      <c r="E16" t="s">
        <v>27</v>
      </c>
      <c r="F16" t="s">
        <v>43</v>
      </c>
      <c r="G16" t="s">
        <v>243</v>
      </c>
      <c r="J16">
        <v>120000</v>
      </c>
    </row>
    <row r="17" spans="1:10" x14ac:dyDescent="0.3">
      <c r="A17" t="s">
        <v>12</v>
      </c>
      <c r="B17">
        <v>1000000016</v>
      </c>
      <c r="C17">
        <v>67000</v>
      </c>
      <c r="D17" t="s">
        <v>22</v>
      </c>
      <c r="E17" t="s">
        <v>28</v>
      </c>
      <c r="F17" t="s">
        <v>44</v>
      </c>
      <c r="G17" t="s">
        <v>244</v>
      </c>
      <c r="J17">
        <v>45000</v>
      </c>
    </row>
    <row r="18" spans="1:10" x14ac:dyDescent="0.3">
      <c r="A18" t="s">
        <v>13</v>
      </c>
      <c r="B18">
        <v>1000000017</v>
      </c>
      <c r="C18">
        <v>56000</v>
      </c>
      <c r="D18" t="s">
        <v>23</v>
      </c>
      <c r="E18" t="s">
        <v>27</v>
      </c>
      <c r="F18" t="s">
        <v>45</v>
      </c>
      <c r="G18" t="s">
        <v>245</v>
      </c>
      <c r="J18">
        <v>98000</v>
      </c>
    </row>
    <row r="19" spans="1:10" x14ac:dyDescent="0.3">
      <c r="A19" t="s">
        <v>14</v>
      </c>
      <c r="B19">
        <v>1000000018</v>
      </c>
      <c r="C19">
        <v>89000</v>
      </c>
      <c r="D19" t="s">
        <v>24</v>
      </c>
      <c r="E19" t="s">
        <v>28</v>
      </c>
      <c r="F19" t="s">
        <v>46</v>
      </c>
      <c r="G19" t="s">
        <v>246</v>
      </c>
      <c r="J19">
        <v>67000</v>
      </c>
    </row>
    <row r="20" spans="1:10" x14ac:dyDescent="0.3">
      <c r="A20" t="s">
        <v>15</v>
      </c>
      <c r="B20">
        <v>1000000019</v>
      </c>
      <c r="C20">
        <v>46000</v>
      </c>
      <c r="D20" t="s">
        <v>25</v>
      </c>
      <c r="E20" t="s">
        <v>27</v>
      </c>
      <c r="F20" t="s">
        <v>47</v>
      </c>
      <c r="G20" t="s">
        <v>247</v>
      </c>
      <c r="J20">
        <v>56000</v>
      </c>
    </row>
    <row r="21" spans="1:10" x14ac:dyDescent="0.3">
      <c r="A21" t="s">
        <v>16</v>
      </c>
      <c r="B21">
        <v>1000000020</v>
      </c>
      <c r="C21">
        <v>77000</v>
      </c>
      <c r="D21" t="s">
        <v>26</v>
      </c>
      <c r="E21" t="s">
        <v>28</v>
      </c>
      <c r="F21" t="s">
        <v>48</v>
      </c>
      <c r="G21" t="s">
        <v>248</v>
      </c>
      <c r="J21">
        <v>89000</v>
      </c>
    </row>
    <row r="22" spans="1:10" x14ac:dyDescent="0.3">
      <c r="A22" t="s">
        <v>7</v>
      </c>
      <c r="B22">
        <v>1000000021</v>
      </c>
      <c r="C22">
        <v>50000</v>
      </c>
      <c r="D22" t="s">
        <v>17</v>
      </c>
      <c r="E22" t="s">
        <v>27</v>
      </c>
      <c r="F22" t="s">
        <v>49</v>
      </c>
      <c r="G22" t="s">
        <v>249</v>
      </c>
      <c r="J22">
        <v>46000</v>
      </c>
    </row>
    <row r="23" spans="1:10" x14ac:dyDescent="0.3">
      <c r="A23" t="s">
        <v>8</v>
      </c>
      <c r="B23">
        <v>1000000022</v>
      </c>
      <c r="C23">
        <v>75000</v>
      </c>
      <c r="D23" t="s">
        <v>18</v>
      </c>
      <c r="E23" t="s">
        <v>28</v>
      </c>
      <c r="F23" t="s">
        <v>50</v>
      </c>
      <c r="G23" t="s">
        <v>250</v>
      </c>
      <c r="J23">
        <v>77000</v>
      </c>
    </row>
    <row r="24" spans="1:10" x14ac:dyDescent="0.3">
      <c r="A24" t="s">
        <v>9</v>
      </c>
      <c r="B24">
        <v>1000000023</v>
      </c>
      <c r="C24">
        <v>120000</v>
      </c>
      <c r="D24" t="s">
        <v>19</v>
      </c>
      <c r="E24" t="s">
        <v>27</v>
      </c>
      <c r="F24" t="s">
        <v>51</v>
      </c>
      <c r="G24" t="s">
        <v>251</v>
      </c>
      <c r="J24">
        <v>50000</v>
      </c>
    </row>
    <row r="25" spans="1:10" x14ac:dyDescent="0.3">
      <c r="A25" t="s">
        <v>10</v>
      </c>
      <c r="B25">
        <v>1000000024</v>
      </c>
      <c r="C25">
        <v>45000</v>
      </c>
      <c r="D25" t="s">
        <v>20</v>
      </c>
      <c r="E25" t="s">
        <v>28</v>
      </c>
      <c r="F25" t="s">
        <v>52</v>
      </c>
      <c r="G25" t="s">
        <v>252</v>
      </c>
      <c r="J25">
        <v>75000</v>
      </c>
    </row>
    <row r="26" spans="1:10" x14ac:dyDescent="0.3">
      <c r="A26" t="s">
        <v>11</v>
      </c>
      <c r="B26">
        <v>1000000025</v>
      </c>
      <c r="C26">
        <v>98000</v>
      </c>
      <c r="D26" t="s">
        <v>21</v>
      </c>
      <c r="E26" t="s">
        <v>27</v>
      </c>
      <c r="F26" t="s">
        <v>53</v>
      </c>
      <c r="G26" t="s">
        <v>253</v>
      </c>
      <c r="J26">
        <v>120000</v>
      </c>
    </row>
    <row r="27" spans="1:10" x14ac:dyDescent="0.3">
      <c r="A27" t="s">
        <v>12</v>
      </c>
      <c r="B27">
        <v>1000000026</v>
      </c>
      <c r="C27">
        <v>67000</v>
      </c>
      <c r="D27" t="s">
        <v>22</v>
      </c>
      <c r="E27" t="s">
        <v>28</v>
      </c>
      <c r="F27" t="s">
        <v>54</v>
      </c>
      <c r="G27" t="s">
        <v>254</v>
      </c>
      <c r="J27">
        <v>45000</v>
      </c>
    </row>
    <row r="28" spans="1:10" x14ac:dyDescent="0.3">
      <c r="A28" t="s">
        <v>13</v>
      </c>
      <c r="B28">
        <v>1000000027</v>
      </c>
      <c r="C28">
        <v>56000</v>
      </c>
      <c r="D28" t="s">
        <v>23</v>
      </c>
      <c r="E28" t="s">
        <v>27</v>
      </c>
      <c r="F28" t="s">
        <v>55</v>
      </c>
      <c r="G28" t="s">
        <v>255</v>
      </c>
      <c r="J28">
        <v>98000</v>
      </c>
    </row>
    <row r="29" spans="1:10" x14ac:dyDescent="0.3">
      <c r="A29" t="s">
        <v>14</v>
      </c>
      <c r="B29">
        <v>1000000028</v>
      </c>
      <c r="C29">
        <v>89000</v>
      </c>
      <c r="D29" t="s">
        <v>24</v>
      </c>
      <c r="E29" t="s">
        <v>28</v>
      </c>
      <c r="F29" t="s">
        <v>56</v>
      </c>
      <c r="G29" t="s">
        <v>256</v>
      </c>
      <c r="J29">
        <v>67000</v>
      </c>
    </row>
    <row r="30" spans="1:10" x14ac:dyDescent="0.3">
      <c r="A30" t="s">
        <v>15</v>
      </c>
      <c r="B30">
        <v>1000000029</v>
      </c>
      <c r="C30">
        <v>46000</v>
      </c>
      <c r="D30" t="s">
        <v>25</v>
      </c>
      <c r="E30" t="s">
        <v>27</v>
      </c>
      <c r="F30" t="s">
        <v>57</v>
      </c>
      <c r="G30" t="s">
        <v>257</v>
      </c>
      <c r="J30">
        <v>56000</v>
      </c>
    </row>
    <row r="31" spans="1:10" x14ac:dyDescent="0.3">
      <c r="A31" t="s">
        <v>16</v>
      </c>
      <c r="B31">
        <v>1000000030</v>
      </c>
      <c r="C31">
        <v>77000</v>
      </c>
      <c r="D31" t="s">
        <v>26</v>
      </c>
      <c r="E31" t="s">
        <v>28</v>
      </c>
      <c r="F31" t="s">
        <v>58</v>
      </c>
      <c r="G31" t="s">
        <v>258</v>
      </c>
      <c r="J31">
        <v>89000</v>
      </c>
    </row>
    <row r="32" spans="1:10" x14ac:dyDescent="0.3">
      <c r="A32" t="s">
        <v>7</v>
      </c>
      <c r="B32">
        <v>1000000031</v>
      </c>
      <c r="C32">
        <v>50000</v>
      </c>
      <c r="D32" t="s">
        <v>17</v>
      </c>
      <c r="E32" t="s">
        <v>27</v>
      </c>
      <c r="F32" t="s">
        <v>59</v>
      </c>
      <c r="G32" t="s">
        <v>259</v>
      </c>
      <c r="J32">
        <v>46000</v>
      </c>
    </row>
    <row r="33" spans="1:10" x14ac:dyDescent="0.3">
      <c r="A33" t="s">
        <v>8</v>
      </c>
      <c r="B33">
        <v>1000000032</v>
      </c>
      <c r="C33">
        <v>75000</v>
      </c>
      <c r="D33" t="s">
        <v>18</v>
      </c>
      <c r="E33" t="s">
        <v>28</v>
      </c>
      <c r="F33" t="s">
        <v>60</v>
      </c>
      <c r="G33" t="s">
        <v>260</v>
      </c>
      <c r="J33">
        <v>77000</v>
      </c>
    </row>
    <row r="34" spans="1:10" x14ac:dyDescent="0.3">
      <c r="A34" t="s">
        <v>9</v>
      </c>
      <c r="B34">
        <v>1000000033</v>
      </c>
      <c r="C34">
        <v>120000</v>
      </c>
      <c r="D34" t="s">
        <v>19</v>
      </c>
      <c r="E34" t="s">
        <v>27</v>
      </c>
      <c r="F34" t="s">
        <v>61</v>
      </c>
      <c r="G34" t="s">
        <v>261</v>
      </c>
      <c r="J34">
        <v>50000</v>
      </c>
    </row>
    <row r="35" spans="1:10" x14ac:dyDescent="0.3">
      <c r="A35" t="s">
        <v>10</v>
      </c>
      <c r="B35">
        <v>1000000034</v>
      </c>
      <c r="C35">
        <v>45000</v>
      </c>
      <c r="D35" t="s">
        <v>20</v>
      </c>
      <c r="E35" t="s">
        <v>28</v>
      </c>
      <c r="F35" t="s">
        <v>62</v>
      </c>
      <c r="G35" t="s">
        <v>262</v>
      </c>
      <c r="J35">
        <v>75000</v>
      </c>
    </row>
    <row r="36" spans="1:10" x14ac:dyDescent="0.3">
      <c r="A36" t="s">
        <v>11</v>
      </c>
      <c r="B36">
        <v>1000000035</v>
      </c>
      <c r="C36">
        <v>98000</v>
      </c>
      <c r="D36" t="s">
        <v>21</v>
      </c>
      <c r="E36" t="s">
        <v>27</v>
      </c>
      <c r="F36" t="s">
        <v>63</v>
      </c>
      <c r="G36" t="s">
        <v>263</v>
      </c>
      <c r="J36">
        <v>120000</v>
      </c>
    </row>
    <row r="37" spans="1:10" x14ac:dyDescent="0.3">
      <c r="A37" t="s">
        <v>12</v>
      </c>
      <c r="B37">
        <v>1000000036</v>
      </c>
      <c r="C37">
        <v>67000</v>
      </c>
      <c r="D37" t="s">
        <v>22</v>
      </c>
      <c r="E37" t="s">
        <v>28</v>
      </c>
      <c r="F37" t="s">
        <v>64</v>
      </c>
      <c r="G37" t="s">
        <v>264</v>
      </c>
      <c r="J37">
        <v>45000</v>
      </c>
    </row>
    <row r="38" spans="1:10" x14ac:dyDescent="0.3">
      <c r="A38" t="s">
        <v>13</v>
      </c>
      <c r="B38">
        <v>1000000037</v>
      </c>
      <c r="C38">
        <v>56000</v>
      </c>
      <c r="D38" t="s">
        <v>23</v>
      </c>
      <c r="E38" t="s">
        <v>27</v>
      </c>
      <c r="F38" t="s">
        <v>65</v>
      </c>
      <c r="G38" t="s">
        <v>265</v>
      </c>
      <c r="J38">
        <v>98000</v>
      </c>
    </row>
    <row r="39" spans="1:10" x14ac:dyDescent="0.3">
      <c r="A39" t="s">
        <v>14</v>
      </c>
      <c r="B39">
        <v>1000000038</v>
      </c>
      <c r="C39">
        <v>89000</v>
      </c>
      <c r="D39" t="s">
        <v>24</v>
      </c>
      <c r="E39" t="s">
        <v>28</v>
      </c>
      <c r="F39" t="s">
        <v>66</v>
      </c>
      <c r="G39" t="s">
        <v>266</v>
      </c>
      <c r="J39">
        <v>67000</v>
      </c>
    </row>
    <row r="40" spans="1:10" x14ac:dyDescent="0.3">
      <c r="A40" t="s">
        <v>15</v>
      </c>
      <c r="B40">
        <v>1000000039</v>
      </c>
      <c r="C40">
        <v>46000</v>
      </c>
      <c r="D40" t="s">
        <v>25</v>
      </c>
      <c r="E40" t="s">
        <v>27</v>
      </c>
      <c r="F40" t="s">
        <v>67</v>
      </c>
      <c r="G40" t="s">
        <v>267</v>
      </c>
      <c r="J40">
        <v>56000</v>
      </c>
    </row>
    <row r="41" spans="1:10" x14ac:dyDescent="0.3">
      <c r="A41" t="s">
        <v>16</v>
      </c>
      <c r="B41">
        <v>1000000040</v>
      </c>
      <c r="C41">
        <v>77000</v>
      </c>
      <c r="D41" t="s">
        <v>26</v>
      </c>
      <c r="E41" t="s">
        <v>28</v>
      </c>
      <c r="F41" t="s">
        <v>68</v>
      </c>
      <c r="G41" t="s">
        <v>268</v>
      </c>
      <c r="J41">
        <v>89000</v>
      </c>
    </row>
    <row r="42" spans="1:10" x14ac:dyDescent="0.3">
      <c r="A42" t="s">
        <v>7</v>
      </c>
      <c r="B42">
        <v>1000000041</v>
      </c>
      <c r="C42">
        <v>50000</v>
      </c>
      <c r="D42" t="s">
        <v>17</v>
      </c>
      <c r="E42" t="s">
        <v>27</v>
      </c>
      <c r="F42" t="s">
        <v>69</v>
      </c>
      <c r="G42" t="s">
        <v>269</v>
      </c>
      <c r="J42">
        <v>46000</v>
      </c>
    </row>
    <row r="43" spans="1:10" x14ac:dyDescent="0.3">
      <c r="A43" t="s">
        <v>8</v>
      </c>
      <c r="B43">
        <v>1000000042</v>
      </c>
      <c r="C43">
        <v>75000</v>
      </c>
      <c r="D43" t="s">
        <v>18</v>
      </c>
      <c r="E43" t="s">
        <v>28</v>
      </c>
      <c r="F43" t="s">
        <v>70</v>
      </c>
      <c r="G43" t="s">
        <v>270</v>
      </c>
      <c r="J43">
        <v>77000</v>
      </c>
    </row>
    <row r="44" spans="1:10" x14ac:dyDescent="0.3">
      <c r="A44" t="s">
        <v>9</v>
      </c>
      <c r="B44">
        <v>1000000043</v>
      </c>
      <c r="C44">
        <v>120000</v>
      </c>
      <c r="D44" t="s">
        <v>19</v>
      </c>
      <c r="E44" t="s">
        <v>27</v>
      </c>
      <c r="F44" t="s">
        <v>71</v>
      </c>
      <c r="G44" t="s">
        <v>271</v>
      </c>
      <c r="J44">
        <v>50000</v>
      </c>
    </row>
    <row r="45" spans="1:10" x14ac:dyDescent="0.3">
      <c r="A45" t="s">
        <v>10</v>
      </c>
      <c r="B45">
        <v>1000000044</v>
      </c>
      <c r="C45">
        <v>45000</v>
      </c>
      <c r="D45" t="s">
        <v>20</v>
      </c>
      <c r="E45" t="s">
        <v>28</v>
      </c>
      <c r="F45" t="s">
        <v>72</v>
      </c>
      <c r="G45" t="s">
        <v>272</v>
      </c>
      <c r="J45">
        <v>75000</v>
      </c>
    </row>
    <row r="46" spans="1:10" x14ac:dyDescent="0.3">
      <c r="A46" t="s">
        <v>11</v>
      </c>
      <c r="B46">
        <v>1000000045</v>
      </c>
      <c r="C46">
        <v>98000</v>
      </c>
      <c r="D46" t="s">
        <v>21</v>
      </c>
      <c r="E46" t="s">
        <v>27</v>
      </c>
      <c r="F46" t="s">
        <v>73</v>
      </c>
      <c r="G46" t="s">
        <v>273</v>
      </c>
      <c r="J46">
        <v>120000</v>
      </c>
    </row>
    <row r="47" spans="1:10" x14ac:dyDescent="0.3">
      <c r="A47" t="s">
        <v>12</v>
      </c>
      <c r="B47">
        <v>1000000046</v>
      </c>
      <c r="C47">
        <v>67000</v>
      </c>
      <c r="D47" t="s">
        <v>22</v>
      </c>
      <c r="E47" t="s">
        <v>28</v>
      </c>
      <c r="F47" t="s">
        <v>74</v>
      </c>
      <c r="G47" t="s">
        <v>274</v>
      </c>
      <c r="J47">
        <v>45000</v>
      </c>
    </row>
    <row r="48" spans="1:10" x14ac:dyDescent="0.3">
      <c r="A48" t="s">
        <v>13</v>
      </c>
      <c r="B48">
        <v>1000000047</v>
      </c>
      <c r="C48">
        <v>56000</v>
      </c>
      <c r="D48" t="s">
        <v>23</v>
      </c>
      <c r="E48" t="s">
        <v>27</v>
      </c>
      <c r="F48" t="s">
        <v>75</v>
      </c>
      <c r="G48" t="s">
        <v>275</v>
      </c>
      <c r="J48">
        <v>98000</v>
      </c>
    </row>
    <row r="49" spans="1:10" x14ac:dyDescent="0.3">
      <c r="A49" t="s">
        <v>14</v>
      </c>
      <c r="B49">
        <v>1000000048</v>
      </c>
      <c r="C49">
        <v>89000</v>
      </c>
      <c r="D49" t="s">
        <v>24</v>
      </c>
      <c r="E49" t="s">
        <v>28</v>
      </c>
      <c r="F49" t="s">
        <v>76</v>
      </c>
      <c r="G49" t="s">
        <v>276</v>
      </c>
      <c r="J49">
        <v>67000</v>
      </c>
    </row>
    <row r="50" spans="1:10" x14ac:dyDescent="0.3">
      <c r="A50" t="s">
        <v>15</v>
      </c>
      <c r="B50">
        <v>1000000049</v>
      </c>
      <c r="C50">
        <v>46000</v>
      </c>
      <c r="D50" t="s">
        <v>25</v>
      </c>
      <c r="E50" t="s">
        <v>27</v>
      </c>
      <c r="F50" t="s">
        <v>77</v>
      </c>
      <c r="G50" t="s">
        <v>277</v>
      </c>
      <c r="J50">
        <v>56000</v>
      </c>
    </row>
    <row r="51" spans="1:10" x14ac:dyDescent="0.3">
      <c r="A51" t="s">
        <v>16</v>
      </c>
      <c r="B51">
        <v>1000000050</v>
      </c>
      <c r="C51">
        <v>77000</v>
      </c>
      <c r="D51" t="s">
        <v>26</v>
      </c>
      <c r="E51" t="s">
        <v>28</v>
      </c>
      <c r="F51" t="s">
        <v>78</v>
      </c>
      <c r="G51" t="s">
        <v>278</v>
      </c>
      <c r="J51">
        <v>89000</v>
      </c>
    </row>
    <row r="52" spans="1:10" x14ac:dyDescent="0.3">
      <c r="A52" t="s">
        <v>7</v>
      </c>
      <c r="B52">
        <v>1000000051</v>
      </c>
      <c r="C52">
        <v>50000</v>
      </c>
      <c r="D52" t="s">
        <v>17</v>
      </c>
      <c r="E52" t="s">
        <v>27</v>
      </c>
      <c r="F52" t="s">
        <v>79</v>
      </c>
      <c r="G52" t="s">
        <v>279</v>
      </c>
      <c r="J52">
        <v>46000</v>
      </c>
    </row>
    <row r="53" spans="1:10" x14ac:dyDescent="0.3">
      <c r="A53" t="s">
        <v>8</v>
      </c>
      <c r="B53">
        <v>1000000052</v>
      </c>
      <c r="C53">
        <v>75000</v>
      </c>
      <c r="D53" t="s">
        <v>18</v>
      </c>
      <c r="E53" t="s">
        <v>28</v>
      </c>
      <c r="F53" t="s">
        <v>80</v>
      </c>
      <c r="G53" t="s">
        <v>280</v>
      </c>
      <c r="J53">
        <v>77000</v>
      </c>
    </row>
    <row r="54" spans="1:10" x14ac:dyDescent="0.3">
      <c r="A54" t="s">
        <v>9</v>
      </c>
      <c r="B54">
        <v>1000000053</v>
      </c>
      <c r="C54">
        <v>120000</v>
      </c>
      <c r="D54" t="s">
        <v>19</v>
      </c>
      <c r="E54" t="s">
        <v>27</v>
      </c>
      <c r="F54" t="s">
        <v>81</v>
      </c>
      <c r="G54" t="s">
        <v>281</v>
      </c>
      <c r="J54">
        <v>50000</v>
      </c>
    </row>
    <row r="55" spans="1:10" x14ac:dyDescent="0.3">
      <c r="A55" t="s">
        <v>10</v>
      </c>
      <c r="B55">
        <v>1000000054</v>
      </c>
      <c r="C55">
        <v>45000</v>
      </c>
      <c r="D55" t="s">
        <v>20</v>
      </c>
      <c r="E55" t="s">
        <v>28</v>
      </c>
      <c r="F55" t="s">
        <v>82</v>
      </c>
      <c r="G55" t="s">
        <v>282</v>
      </c>
      <c r="J55">
        <v>75000</v>
      </c>
    </row>
    <row r="56" spans="1:10" x14ac:dyDescent="0.3">
      <c r="A56" t="s">
        <v>11</v>
      </c>
      <c r="B56">
        <v>1000000055</v>
      </c>
      <c r="C56">
        <v>98000</v>
      </c>
      <c r="D56" t="s">
        <v>21</v>
      </c>
      <c r="E56" t="s">
        <v>27</v>
      </c>
      <c r="F56" t="s">
        <v>83</v>
      </c>
      <c r="G56" t="s">
        <v>283</v>
      </c>
      <c r="J56">
        <v>120000</v>
      </c>
    </row>
    <row r="57" spans="1:10" x14ac:dyDescent="0.3">
      <c r="A57" t="s">
        <v>12</v>
      </c>
      <c r="B57">
        <v>1000000056</v>
      </c>
      <c r="C57">
        <v>67000</v>
      </c>
      <c r="D57" t="s">
        <v>22</v>
      </c>
      <c r="E57" t="s">
        <v>28</v>
      </c>
      <c r="F57" t="s">
        <v>84</v>
      </c>
      <c r="G57" t="s">
        <v>284</v>
      </c>
      <c r="J57">
        <v>45000</v>
      </c>
    </row>
    <row r="58" spans="1:10" x14ac:dyDescent="0.3">
      <c r="A58" t="s">
        <v>13</v>
      </c>
      <c r="B58">
        <v>1000000057</v>
      </c>
      <c r="C58">
        <v>56000</v>
      </c>
      <c r="D58" t="s">
        <v>23</v>
      </c>
      <c r="E58" t="s">
        <v>27</v>
      </c>
      <c r="F58" t="s">
        <v>85</v>
      </c>
      <c r="G58" t="s">
        <v>285</v>
      </c>
      <c r="J58">
        <v>98000</v>
      </c>
    </row>
    <row r="59" spans="1:10" x14ac:dyDescent="0.3">
      <c r="A59" t="s">
        <v>14</v>
      </c>
      <c r="B59">
        <v>1000000058</v>
      </c>
      <c r="C59">
        <v>89000</v>
      </c>
      <c r="D59" t="s">
        <v>24</v>
      </c>
      <c r="E59" t="s">
        <v>28</v>
      </c>
      <c r="F59" t="s">
        <v>86</v>
      </c>
      <c r="G59" t="s">
        <v>286</v>
      </c>
      <c r="J59">
        <v>67000</v>
      </c>
    </row>
    <row r="60" spans="1:10" x14ac:dyDescent="0.3">
      <c r="A60" t="s">
        <v>15</v>
      </c>
      <c r="B60">
        <v>1000000059</v>
      </c>
      <c r="C60">
        <v>46000</v>
      </c>
      <c r="D60" t="s">
        <v>25</v>
      </c>
      <c r="E60" t="s">
        <v>27</v>
      </c>
      <c r="F60" t="s">
        <v>87</v>
      </c>
      <c r="G60" t="s">
        <v>287</v>
      </c>
      <c r="J60">
        <v>56000</v>
      </c>
    </row>
    <row r="61" spans="1:10" x14ac:dyDescent="0.3">
      <c r="A61" t="s">
        <v>16</v>
      </c>
      <c r="B61">
        <v>1000000060</v>
      </c>
      <c r="C61">
        <v>77000</v>
      </c>
      <c r="D61" t="s">
        <v>26</v>
      </c>
      <c r="E61" t="s">
        <v>28</v>
      </c>
      <c r="F61" t="s">
        <v>88</v>
      </c>
      <c r="G61" t="s">
        <v>288</v>
      </c>
      <c r="J61">
        <v>89000</v>
      </c>
    </row>
    <row r="62" spans="1:10" x14ac:dyDescent="0.3">
      <c r="A62" t="s">
        <v>7</v>
      </c>
      <c r="B62">
        <v>1000000061</v>
      </c>
      <c r="C62">
        <v>50000</v>
      </c>
      <c r="D62" t="s">
        <v>17</v>
      </c>
      <c r="E62" t="s">
        <v>27</v>
      </c>
      <c r="F62" t="s">
        <v>89</v>
      </c>
      <c r="G62" t="s">
        <v>289</v>
      </c>
      <c r="J62">
        <v>46000</v>
      </c>
    </row>
    <row r="63" spans="1:10" x14ac:dyDescent="0.3">
      <c r="A63" t="s">
        <v>8</v>
      </c>
      <c r="B63">
        <v>1000000062</v>
      </c>
      <c r="C63">
        <v>75000</v>
      </c>
      <c r="D63" t="s">
        <v>18</v>
      </c>
      <c r="E63" t="s">
        <v>28</v>
      </c>
      <c r="F63" t="s">
        <v>90</v>
      </c>
      <c r="G63" t="s">
        <v>290</v>
      </c>
      <c r="J63">
        <v>77000</v>
      </c>
    </row>
    <row r="64" spans="1:10" x14ac:dyDescent="0.3">
      <c r="A64" t="s">
        <v>9</v>
      </c>
      <c r="B64">
        <v>1000000063</v>
      </c>
      <c r="C64">
        <v>120000</v>
      </c>
      <c r="D64" t="s">
        <v>19</v>
      </c>
      <c r="E64" t="s">
        <v>27</v>
      </c>
      <c r="F64" t="s">
        <v>91</v>
      </c>
      <c r="G64" t="s">
        <v>291</v>
      </c>
      <c r="J64">
        <v>50000</v>
      </c>
    </row>
    <row r="65" spans="1:10" x14ac:dyDescent="0.3">
      <c r="A65" t="s">
        <v>10</v>
      </c>
      <c r="B65">
        <v>1000000064</v>
      </c>
      <c r="C65">
        <v>45000</v>
      </c>
      <c r="D65" t="s">
        <v>20</v>
      </c>
      <c r="E65" t="s">
        <v>28</v>
      </c>
      <c r="F65" t="s">
        <v>92</v>
      </c>
      <c r="G65" t="s">
        <v>292</v>
      </c>
      <c r="J65">
        <v>75000</v>
      </c>
    </row>
    <row r="66" spans="1:10" x14ac:dyDescent="0.3">
      <c r="A66" t="s">
        <v>11</v>
      </c>
      <c r="B66">
        <v>1000000065</v>
      </c>
      <c r="C66">
        <v>98000</v>
      </c>
      <c r="D66" t="s">
        <v>21</v>
      </c>
      <c r="E66" t="s">
        <v>27</v>
      </c>
      <c r="F66" t="s">
        <v>93</v>
      </c>
      <c r="G66" t="s">
        <v>293</v>
      </c>
      <c r="J66">
        <v>120000</v>
      </c>
    </row>
    <row r="67" spans="1:10" x14ac:dyDescent="0.3">
      <c r="A67" t="s">
        <v>12</v>
      </c>
      <c r="B67">
        <v>1000000066</v>
      </c>
      <c r="C67">
        <v>67000</v>
      </c>
      <c r="D67" t="s">
        <v>22</v>
      </c>
      <c r="E67" t="s">
        <v>28</v>
      </c>
      <c r="F67" t="s">
        <v>94</v>
      </c>
      <c r="G67" t="s">
        <v>294</v>
      </c>
      <c r="J67">
        <v>45000</v>
      </c>
    </row>
    <row r="68" spans="1:10" x14ac:dyDescent="0.3">
      <c r="A68" t="s">
        <v>13</v>
      </c>
      <c r="B68">
        <v>1000000067</v>
      </c>
      <c r="C68">
        <v>56000</v>
      </c>
      <c r="D68" t="s">
        <v>23</v>
      </c>
      <c r="E68" t="s">
        <v>27</v>
      </c>
      <c r="F68" t="s">
        <v>95</v>
      </c>
      <c r="G68" t="s">
        <v>295</v>
      </c>
      <c r="J68">
        <v>98000</v>
      </c>
    </row>
    <row r="69" spans="1:10" x14ac:dyDescent="0.3">
      <c r="A69" t="s">
        <v>14</v>
      </c>
      <c r="B69">
        <v>1000000068</v>
      </c>
      <c r="C69">
        <v>89000</v>
      </c>
      <c r="D69" t="s">
        <v>24</v>
      </c>
      <c r="E69" t="s">
        <v>28</v>
      </c>
      <c r="F69" t="s">
        <v>96</v>
      </c>
      <c r="G69" t="s">
        <v>296</v>
      </c>
      <c r="J69">
        <v>67000</v>
      </c>
    </row>
    <row r="70" spans="1:10" x14ac:dyDescent="0.3">
      <c r="A70" t="s">
        <v>15</v>
      </c>
      <c r="B70">
        <v>1000000069</v>
      </c>
      <c r="C70">
        <v>46000</v>
      </c>
      <c r="D70" t="s">
        <v>25</v>
      </c>
      <c r="E70" t="s">
        <v>27</v>
      </c>
      <c r="F70" t="s">
        <v>97</v>
      </c>
      <c r="G70" t="s">
        <v>297</v>
      </c>
      <c r="J70">
        <v>56000</v>
      </c>
    </row>
    <row r="71" spans="1:10" x14ac:dyDescent="0.3">
      <c r="A71" t="s">
        <v>16</v>
      </c>
      <c r="B71">
        <v>1000000070</v>
      </c>
      <c r="C71">
        <v>77000</v>
      </c>
      <c r="D71" t="s">
        <v>26</v>
      </c>
      <c r="E71" t="s">
        <v>28</v>
      </c>
      <c r="F71" t="s">
        <v>98</v>
      </c>
      <c r="G71" t="s">
        <v>298</v>
      </c>
      <c r="J71">
        <v>89000</v>
      </c>
    </row>
    <row r="72" spans="1:10" x14ac:dyDescent="0.3">
      <c r="A72" t="s">
        <v>7</v>
      </c>
      <c r="B72">
        <v>1000000071</v>
      </c>
      <c r="C72">
        <v>50000</v>
      </c>
      <c r="D72" t="s">
        <v>17</v>
      </c>
      <c r="E72" t="s">
        <v>27</v>
      </c>
      <c r="F72" t="s">
        <v>99</v>
      </c>
      <c r="G72" t="s">
        <v>299</v>
      </c>
      <c r="J72">
        <v>46000</v>
      </c>
    </row>
    <row r="73" spans="1:10" x14ac:dyDescent="0.3">
      <c r="A73" t="s">
        <v>8</v>
      </c>
      <c r="B73">
        <v>1000000072</v>
      </c>
      <c r="C73">
        <v>75000</v>
      </c>
      <c r="D73" t="s">
        <v>18</v>
      </c>
      <c r="E73" t="s">
        <v>28</v>
      </c>
      <c r="F73" t="s">
        <v>100</v>
      </c>
      <c r="G73" t="s">
        <v>300</v>
      </c>
      <c r="J73">
        <v>77000</v>
      </c>
    </row>
    <row r="74" spans="1:10" x14ac:dyDescent="0.3">
      <c r="A74" t="s">
        <v>9</v>
      </c>
      <c r="B74">
        <v>1000000073</v>
      </c>
      <c r="C74">
        <v>120000</v>
      </c>
      <c r="D74" t="s">
        <v>19</v>
      </c>
      <c r="E74" t="s">
        <v>27</v>
      </c>
      <c r="F74" t="s">
        <v>101</v>
      </c>
      <c r="G74" t="s">
        <v>301</v>
      </c>
      <c r="J74">
        <v>50000</v>
      </c>
    </row>
    <row r="75" spans="1:10" x14ac:dyDescent="0.3">
      <c r="A75" t="s">
        <v>10</v>
      </c>
      <c r="B75">
        <v>1000000074</v>
      </c>
      <c r="C75">
        <v>45000</v>
      </c>
      <c r="D75" t="s">
        <v>20</v>
      </c>
      <c r="E75" t="s">
        <v>28</v>
      </c>
      <c r="F75" t="s">
        <v>102</v>
      </c>
      <c r="G75" t="s">
        <v>302</v>
      </c>
      <c r="J75">
        <v>75000</v>
      </c>
    </row>
    <row r="76" spans="1:10" x14ac:dyDescent="0.3">
      <c r="A76" t="s">
        <v>11</v>
      </c>
      <c r="B76">
        <v>1000000075</v>
      </c>
      <c r="C76">
        <v>98000</v>
      </c>
      <c r="D76" t="s">
        <v>21</v>
      </c>
      <c r="E76" t="s">
        <v>27</v>
      </c>
      <c r="F76" t="s">
        <v>103</v>
      </c>
      <c r="G76" t="s">
        <v>303</v>
      </c>
      <c r="J76">
        <v>120000</v>
      </c>
    </row>
    <row r="77" spans="1:10" x14ac:dyDescent="0.3">
      <c r="A77" t="s">
        <v>12</v>
      </c>
      <c r="B77">
        <v>1000000076</v>
      </c>
      <c r="C77">
        <v>67000</v>
      </c>
      <c r="D77" t="s">
        <v>22</v>
      </c>
      <c r="E77" t="s">
        <v>28</v>
      </c>
      <c r="F77" t="s">
        <v>104</v>
      </c>
      <c r="G77" t="s">
        <v>304</v>
      </c>
      <c r="J77">
        <v>45000</v>
      </c>
    </row>
    <row r="78" spans="1:10" x14ac:dyDescent="0.3">
      <c r="A78" t="s">
        <v>13</v>
      </c>
      <c r="B78">
        <v>1000000077</v>
      </c>
      <c r="C78">
        <v>56000</v>
      </c>
      <c r="D78" t="s">
        <v>23</v>
      </c>
      <c r="E78" t="s">
        <v>27</v>
      </c>
      <c r="F78" t="s">
        <v>105</v>
      </c>
      <c r="G78" t="s">
        <v>305</v>
      </c>
      <c r="J78">
        <v>98000</v>
      </c>
    </row>
    <row r="79" spans="1:10" x14ac:dyDescent="0.3">
      <c r="A79" t="s">
        <v>14</v>
      </c>
      <c r="B79">
        <v>1000000078</v>
      </c>
      <c r="C79">
        <v>89000</v>
      </c>
      <c r="D79" t="s">
        <v>24</v>
      </c>
      <c r="E79" t="s">
        <v>28</v>
      </c>
      <c r="F79" t="s">
        <v>106</v>
      </c>
      <c r="G79" t="s">
        <v>306</v>
      </c>
      <c r="J79">
        <v>67000</v>
      </c>
    </row>
    <row r="80" spans="1:10" x14ac:dyDescent="0.3">
      <c r="A80" t="s">
        <v>15</v>
      </c>
      <c r="B80">
        <v>1000000079</v>
      </c>
      <c r="C80">
        <v>46000</v>
      </c>
      <c r="D80" t="s">
        <v>25</v>
      </c>
      <c r="E80" t="s">
        <v>27</v>
      </c>
      <c r="F80" t="s">
        <v>107</v>
      </c>
      <c r="G80" t="s">
        <v>307</v>
      </c>
      <c r="J80">
        <v>56000</v>
      </c>
    </row>
    <row r="81" spans="1:10" x14ac:dyDescent="0.3">
      <c r="A81" t="s">
        <v>16</v>
      </c>
      <c r="B81">
        <v>1000000080</v>
      </c>
      <c r="C81">
        <v>77000</v>
      </c>
      <c r="D81" t="s">
        <v>26</v>
      </c>
      <c r="E81" t="s">
        <v>28</v>
      </c>
      <c r="F81" t="s">
        <v>108</v>
      </c>
      <c r="G81" t="s">
        <v>308</v>
      </c>
      <c r="J81">
        <v>89000</v>
      </c>
    </row>
    <row r="82" spans="1:10" x14ac:dyDescent="0.3">
      <c r="A82" t="s">
        <v>7</v>
      </c>
      <c r="B82">
        <v>1000000081</v>
      </c>
      <c r="C82">
        <v>50000</v>
      </c>
      <c r="D82" t="s">
        <v>17</v>
      </c>
      <c r="E82" t="s">
        <v>27</v>
      </c>
      <c r="F82" t="s">
        <v>109</v>
      </c>
      <c r="G82" t="s">
        <v>309</v>
      </c>
      <c r="J82">
        <v>46000</v>
      </c>
    </row>
    <row r="83" spans="1:10" x14ac:dyDescent="0.3">
      <c r="A83" t="s">
        <v>8</v>
      </c>
      <c r="B83">
        <v>1000000082</v>
      </c>
      <c r="C83">
        <v>75000</v>
      </c>
      <c r="D83" t="s">
        <v>18</v>
      </c>
      <c r="E83" t="s">
        <v>28</v>
      </c>
      <c r="F83" t="s">
        <v>110</v>
      </c>
      <c r="G83" t="s">
        <v>310</v>
      </c>
      <c r="J83">
        <v>77000</v>
      </c>
    </row>
    <row r="84" spans="1:10" x14ac:dyDescent="0.3">
      <c r="A84" t="s">
        <v>9</v>
      </c>
      <c r="B84">
        <v>1000000083</v>
      </c>
      <c r="C84">
        <v>120000</v>
      </c>
      <c r="D84" t="s">
        <v>19</v>
      </c>
      <c r="E84" t="s">
        <v>27</v>
      </c>
      <c r="F84" t="s">
        <v>111</v>
      </c>
      <c r="G84" t="s">
        <v>311</v>
      </c>
      <c r="J84">
        <v>50000</v>
      </c>
    </row>
    <row r="85" spans="1:10" x14ac:dyDescent="0.3">
      <c r="A85" t="s">
        <v>10</v>
      </c>
      <c r="B85">
        <v>1000000084</v>
      </c>
      <c r="C85">
        <v>45000</v>
      </c>
      <c r="D85" t="s">
        <v>20</v>
      </c>
      <c r="E85" t="s">
        <v>28</v>
      </c>
      <c r="F85" t="s">
        <v>112</v>
      </c>
      <c r="G85" t="s">
        <v>312</v>
      </c>
      <c r="J85">
        <v>75000</v>
      </c>
    </row>
    <row r="86" spans="1:10" x14ac:dyDescent="0.3">
      <c r="A86" t="s">
        <v>11</v>
      </c>
      <c r="B86">
        <v>1000000085</v>
      </c>
      <c r="C86">
        <v>98000</v>
      </c>
      <c r="D86" t="s">
        <v>21</v>
      </c>
      <c r="E86" t="s">
        <v>27</v>
      </c>
      <c r="F86" t="s">
        <v>113</v>
      </c>
      <c r="G86" t="s">
        <v>313</v>
      </c>
      <c r="J86">
        <v>120000</v>
      </c>
    </row>
    <row r="87" spans="1:10" x14ac:dyDescent="0.3">
      <c r="A87" t="s">
        <v>12</v>
      </c>
      <c r="B87">
        <v>1000000086</v>
      </c>
      <c r="C87">
        <v>67000</v>
      </c>
      <c r="D87" t="s">
        <v>22</v>
      </c>
      <c r="E87" t="s">
        <v>28</v>
      </c>
      <c r="F87" t="s">
        <v>114</v>
      </c>
      <c r="G87" t="s">
        <v>314</v>
      </c>
      <c r="J87">
        <v>45000</v>
      </c>
    </row>
    <row r="88" spans="1:10" x14ac:dyDescent="0.3">
      <c r="A88" t="s">
        <v>13</v>
      </c>
      <c r="B88">
        <v>1000000087</v>
      </c>
      <c r="C88">
        <v>56000</v>
      </c>
      <c r="D88" t="s">
        <v>23</v>
      </c>
      <c r="E88" t="s">
        <v>27</v>
      </c>
      <c r="F88" t="s">
        <v>115</v>
      </c>
      <c r="G88" t="s">
        <v>315</v>
      </c>
      <c r="J88">
        <v>98000</v>
      </c>
    </row>
    <row r="89" spans="1:10" x14ac:dyDescent="0.3">
      <c r="A89" t="s">
        <v>14</v>
      </c>
      <c r="B89">
        <v>1000000088</v>
      </c>
      <c r="C89">
        <v>89000</v>
      </c>
      <c r="D89" t="s">
        <v>24</v>
      </c>
      <c r="E89" t="s">
        <v>28</v>
      </c>
      <c r="F89" t="s">
        <v>116</v>
      </c>
      <c r="G89" t="s">
        <v>316</v>
      </c>
      <c r="J89">
        <v>67000</v>
      </c>
    </row>
    <row r="90" spans="1:10" x14ac:dyDescent="0.3">
      <c r="A90" t="s">
        <v>15</v>
      </c>
      <c r="B90">
        <v>1000000089</v>
      </c>
      <c r="C90">
        <v>46000</v>
      </c>
      <c r="D90" t="s">
        <v>25</v>
      </c>
      <c r="E90" t="s">
        <v>27</v>
      </c>
      <c r="F90" t="s">
        <v>117</v>
      </c>
      <c r="G90" t="s">
        <v>317</v>
      </c>
      <c r="J90">
        <v>56000</v>
      </c>
    </row>
    <row r="91" spans="1:10" x14ac:dyDescent="0.3">
      <c r="A91" t="s">
        <v>16</v>
      </c>
      <c r="B91">
        <v>1000000090</v>
      </c>
      <c r="C91">
        <v>77000</v>
      </c>
      <c r="D91" t="s">
        <v>26</v>
      </c>
      <c r="E91" t="s">
        <v>28</v>
      </c>
      <c r="F91" t="s">
        <v>118</v>
      </c>
      <c r="G91" t="s">
        <v>318</v>
      </c>
      <c r="J91">
        <v>89000</v>
      </c>
    </row>
    <row r="92" spans="1:10" x14ac:dyDescent="0.3">
      <c r="A92" t="s">
        <v>7</v>
      </c>
      <c r="B92">
        <v>1000000091</v>
      </c>
      <c r="C92">
        <v>50000</v>
      </c>
      <c r="D92" t="s">
        <v>17</v>
      </c>
      <c r="E92" t="s">
        <v>27</v>
      </c>
      <c r="F92" t="s">
        <v>119</v>
      </c>
      <c r="G92" t="s">
        <v>319</v>
      </c>
      <c r="J92">
        <v>46000</v>
      </c>
    </row>
    <row r="93" spans="1:10" x14ac:dyDescent="0.3">
      <c r="A93" t="s">
        <v>8</v>
      </c>
      <c r="B93">
        <v>1000000092</v>
      </c>
      <c r="C93">
        <v>75000</v>
      </c>
      <c r="D93" t="s">
        <v>18</v>
      </c>
      <c r="E93" t="s">
        <v>28</v>
      </c>
      <c r="F93" t="s">
        <v>120</v>
      </c>
      <c r="G93" t="s">
        <v>320</v>
      </c>
      <c r="J93">
        <v>77000</v>
      </c>
    </row>
    <row r="94" spans="1:10" x14ac:dyDescent="0.3">
      <c r="A94" t="s">
        <v>9</v>
      </c>
      <c r="B94">
        <v>1000000093</v>
      </c>
      <c r="C94">
        <v>120000</v>
      </c>
      <c r="D94" t="s">
        <v>19</v>
      </c>
      <c r="E94" t="s">
        <v>27</v>
      </c>
      <c r="F94" t="s">
        <v>121</v>
      </c>
      <c r="G94" t="s">
        <v>321</v>
      </c>
      <c r="J94">
        <v>50000</v>
      </c>
    </row>
    <row r="95" spans="1:10" x14ac:dyDescent="0.3">
      <c r="A95" t="s">
        <v>10</v>
      </c>
      <c r="B95">
        <v>1000000094</v>
      </c>
      <c r="C95">
        <v>45000</v>
      </c>
      <c r="D95" t="s">
        <v>20</v>
      </c>
      <c r="E95" t="s">
        <v>28</v>
      </c>
      <c r="F95" t="s">
        <v>122</v>
      </c>
      <c r="G95" t="s">
        <v>322</v>
      </c>
      <c r="J95">
        <v>75000</v>
      </c>
    </row>
    <row r="96" spans="1:10" x14ac:dyDescent="0.3">
      <c r="A96" t="s">
        <v>11</v>
      </c>
      <c r="B96">
        <v>1000000095</v>
      </c>
      <c r="C96">
        <v>98000</v>
      </c>
      <c r="D96" t="s">
        <v>21</v>
      </c>
      <c r="E96" t="s">
        <v>27</v>
      </c>
      <c r="F96" t="s">
        <v>123</v>
      </c>
      <c r="G96" t="s">
        <v>323</v>
      </c>
      <c r="J96">
        <v>120000</v>
      </c>
    </row>
    <row r="97" spans="1:10" x14ac:dyDescent="0.3">
      <c r="A97" t="s">
        <v>12</v>
      </c>
      <c r="B97">
        <v>1000000096</v>
      </c>
      <c r="C97">
        <v>67000</v>
      </c>
      <c r="D97" t="s">
        <v>22</v>
      </c>
      <c r="E97" t="s">
        <v>28</v>
      </c>
      <c r="F97" t="s">
        <v>124</v>
      </c>
      <c r="G97" t="s">
        <v>324</v>
      </c>
      <c r="J97">
        <v>45000</v>
      </c>
    </row>
    <row r="98" spans="1:10" x14ac:dyDescent="0.3">
      <c r="A98" t="s">
        <v>13</v>
      </c>
      <c r="B98">
        <v>1000000097</v>
      </c>
      <c r="C98">
        <v>56000</v>
      </c>
      <c r="D98" t="s">
        <v>23</v>
      </c>
      <c r="E98" t="s">
        <v>27</v>
      </c>
      <c r="F98" t="s">
        <v>125</v>
      </c>
      <c r="G98" t="s">
        <v>325</v>
      </c>
      <c r="J98">
        <v>98000</v>
      </c>
    </row>
    <row r="99" spans="1:10" x14ac:dyDescent="0.3">
      <c r="A99" t="s">
        <v>14</v>
      </c>
      <c r="B99">
        <v>1000000098</v>
      </c>
      <c r="C99">
        <v>89000</v>
      </c>
      <c r="D99" t="s">
        <v>24</v>
      </c>
      <c r="E99" t="s">
        <v>28</v>
      </c>
      <c r="F99" t="s">
        <v>126</v>
      </c>
      <c r="G99" t="s">
        <v>326</v>
      </c>
      <c r="J99">
        <v>67000</v>
      </c>
    </row>
    <row r="100" spans="1:10" x14ac:dyDescent="0.3">
      <c r="A100" t="s">
        <v>15</v>
      </c>
      <c r="B100">
        <v>1000000099</v>
      </c>
      <c r="C100">
        <v>46000</v>
      </c>
      <c r="D100" t="s">
        <v>25</v>
      </c>
      <c r="E100" t="s">
        <v>27</v>
      </c>
      <c r="F100" t="s">
        <v>127</v>
      </c>
      <c r="G100" t="s">
        <v>327</v>
      </c>
      <c r="J100">
        <v>56000</v>
      </c>
    </row>
    <row r="101" spans="1:10" x14ac:dyDescent="0.3">
      <c r="A101" t="s">
        <v>16</v>
      </c>
      <c r="B101">
        <v>1000000100</v>
      </c>
      <c r="C101">
        <v>77000</v>
      </c>
      <c r="D101" t="s">
        <v>26</v>
      </c>
      <c r="E101" t="s">
        <v>28</v>
      </c>
      <c r="F101" t="s">
        <v>128</v>
      </c>
      <c r="G101" t="s">
        <v>328</v>
      </c>
      <c r="J101">
        <v>89000</v>
      </c>
    </row>
    <row r="102" spans="1:10" x14ac:dyDescent="0.3">
      <c r="A102" t="s">
        <v>7</v>
      </c>
      <c r="B102">
        <v>1000000101</v>
      </c>
      <c r="C102">
        <v>50000</v>
      </c>
      <c r="D102" t="s">
        <v>17</v>
      </c>
      <c r="E102" t="s">
        <v>27</v>
      </c>
      <c r="F102" t="s">
        <v>129</v>
      </c>
      <c r="G102" t="s">
        <v>329</v>
      </c>
      <c r="J102">
        <v>46000</v>
      </c>
    </row>
    <row r="103" spans="1:10" x14ac:dyDescent="0.3">
      <c r="A103" t="s">
        <v>8</v>
      </c>
      <c r="B103">
        <v>1000000102</v>
      </c>
      <c r="C103">
        <v>75000</v>
      </c>
      <c r="D103" t="s">
        <v>18</v>
      </c>
      <c r="E103" t="s">
        <v>28</v>
      </c>
      <c r="F103" t="s">
        <v>130</v>
      </c>
      <c r="G103" t="s">
        <v>330</v>
      </c>
      <c r="J103">
        <v>77000</v>
      </c>
    </row>
    <row r="104" spans="1:10" x14ac:dyDescent="0.3">
      <c r="A104" t="s">
        <v>9</v>
      </c>
      <c r="B104">
        <v>1000000103</v>
      </c>
      <c r="C104">
        <v>120000</v>
      </c>
      <c r="D104" t="s">
        <v>19</v>
      </c>
      <c r="E104" t="s">
        <v>27</v>
      </c>
      <c r="F104" t="s">
        <v>131</v>
      </c>
      <c r="G104" t="s">
        <v>331</v>
      </c>
      <c r="J104">
        <v>50000</v>
      </c>
    </row>
    <row r="105" spans="1:10" x14ac:dyDescent="0.3">
      <c r="A105" t="s">
        <v>10</v>
      </c>
      <c r="B105">
        <v>1000000104</v>
      </c>
      <c r="C105">
        <v>45000</v>
      </c>
      <c r="D105" t="s">
        <v>20</v>
      </c>
      <c r="E105" t="s">
        <v>28</v>
      </c>
      <c r="F105" t="s">
        <v>132</v>
      </c>
      <c r="G105" t="s">
        <v>332</v>
      </c>
      <c r="J105">
        <v>75000</v>
      </c>
    </row>
    <row r="106" spans="1:10" x14ac:dyDescent="0.3">
      <c r="A106" t="s">
        <v>11</v>
      </c>
      <c r="B106">
        <v>1000000105</v>
      </c>
      <c r="C106">
        <v>98000</v>
      </c>
      <c r="D106" t="s">
        <v>21</v>
      </c>
      <c r="E106" t="s">
        <v>27</v>
      </c>
      <c r="F106" t="s">
        <v>133</v>
      </c>
      <c r="G106" t="s">
        <v>333</v>
      </c>
      <c r="J106">
        <v>120000</v>
      </c>
    </row>
    <row r="107" spans="1:10" x14ac:dyDescent="0.3">
      <c r="A107" t="s">
        <v>12</v>
      </c>
      <c r="B107">
        <v>1000000106</v>
      </c>
      <c r="C107">
        <v>67000</v>
      </c>
      <c r="D107" t="s">
        <v>22</v>
      </c>
      <c r="E107" t="s">
        <v>28</v>
      </c>
      <c r="F107" t="s">
        <v>134</v>
      </c>
      <c r="G107" t="s">
        <v>334</v>
      </c>
      <c r="J107">
        <v>45000</v>
      </c>
    </row>
    <row r="108" spans="1:10" x14ac:dyDescent="0.3">
      <c r="A108" t="s">
        <v>13</v>
      </c>
      <c r="B108">
        <v>1000000107</v>
      </c>
      <c r="C108">
        <v>56000</v>
      </c>
      <c r="D108" t="s">
        <v>23</v>
      </c>
      <c r="E108" t="s">
        <v>27</v>
      </c>
      <c r="F108" t="s">
        <v>135</v>
      </c>
      <c r="G108" t="s">
        <v>335</v>
      </c>
      <c r="J108">
        <v>98000</v>
      </c>
    </row>
    <row r="109" spans="1:10" x14ac:dyDescent="0.3">
      <c r="A109" t="s">
        <v>14</v>
      </c>
      <c r="B109">
        <v>1000000108</v>
      </c>
      <c r="C109">
        <v>89000</v>
      </c>
      <c r="D109" t="s">
        <v>24</v>
      </c>
      <c r="E109" t="s">
        <v>28</v>
      </c>
      <c r="F109" t="s">
        <v>136</v>
      </c>
      <c r="G109" t="s">
        <v>336</v>
      </c>
      <c r="J109">
        <v>67000</v>
      </c>
    </row>
    <row r="110" spans="1:10" x14ac:dyDescent="0.3">
      <c r="A110" t="s">
        <v>15</v>
      </c>
      <c r="B110">
        <v>1000000109</v>
      </c>
      <c r="C110">
        <v>46000</v>
      </c>
      <c r="D110" t="s">
        <v>25</v>
      </c>
      <c r="E110" t="s">
        <v>27</v>
      </c>
      <c r="F110" t="s">
        <v>137</v>
      </c>
      <c r="G110" t="s">
        <v>337</v>
      </c>
      <c r="J110">
        <v>56000</v>
      </c>
    </row>
    <row r="111" spans="1:10" x14ac:dyDescent="0.3">
      <c r="A111" t="s">
        <v>16</v>
      </c>
      <c r="B111">
        <v>1000000110</v>
      </c>
      <c r="C111">
        <v>77000</v>
      </c>
      <c r="D111" t="s">
        <v>26</v>
      </c>
      <c r="E111" t="s">
        <v>28</v>
      </c>
      <c r="F111" t="s">
        <v>138</v>
      </c>
      <c r="G111" t="s">
        <v>338</v>
      </c>
      <c r="J111">
        <v>89000</v>
      </c>
    </row>
    <row r="112" spans="1:10" x14ac:dyDescent="0.3">
      <c r="A112" t="s">
        <v>7</v>
      </c>
      <c r="B112">
        <v>1000000111</v>
      </c>
      <c r="C112">
        <v>50000</v>
      </c>
      <c r="D112" t="s">
        <v>17</v>
      </c>
      <c r="E112" t="s">
        <v>27</v>
      </c>
      <c r="F112" t="s">
        <v>139</v>
      </c>
      <c r="G112" t="s">
        <v>339</v>
      </c>
      <c r="J112">
        <v>46000</v>
      </c>
    </row>
    <row r="113" spans="1:10" x14ac:dyDescent="0.3">
      <c r="A113" t="s">
        <v>8</v>
      </c>
      <c r="B113">
        <v>1000000112</v>
      </c>
      <c r="C113">
        <v>75000</v>
      </c>
      <c r="D113" t="s">
        <v>18</v>
      </c>
      <c r="E113" t="s">
        <v>28</v>
      </c>
      <c r="F113" t="s">
        <v>140</v>
      </c>
      <c r="G113" t="s">
        <v>340</v>
      </c>
      <c r="J113">
        <v>77000</v>
      </c>
    </row>
    <row r="114" spans="1:10" x14ac:dyDescent="0.3">
      <c r="A114" t="s">
        <v>9</v>
      </c>
      <c r="B114">
        <v>1000000113</v>
      </c>
      <c r="C114">
        <v>120000</v>
      </c>
      <c r="D114" t="s">
        <v>19</v>
      </c>
      <c r="E114" t="s">
        <v>27</v>
      </c>
      <c r="F114" t="s">
        <v>141</v>
      </c>
      <c r="G114" t="s">
        <v>341</v>
      </c>
      <c r="J114">
        <v>50000</v>
      </c>
    </row>
    <row r="115" spans="1:10" x14ac:dyDescent="0.3">
      <c r="A115" t="s">
        <v>10</v>
      </c>
      <c r="B115">
        <v>1000000114</v>
      </c>
      <c r="C115">
        <v>45000</v>
      </c>
      <c r="D115" t="s">
        <v>20</v>
      </c>
      <c r="E115" t="s">
        <v>28</v>
      </c>
      <c r="F115" t="s">
        <v>142</v>
      </c>
      <c r="G115" t="s">
        <v>342</v>
      </c>
      <c r="J115">
        <v>75000</v>
      </c>
    </row>
    <row r="116" spans="1:10" x14ac:dyDescent="0.3">
      <c r="A116" t="s">
        <v>11</v>
      </c>
      <c r="B116">
        <v>1000000115</v>
      </c>
      <c r="C116">
        <v>98000</v>
      </c>
      <c r="D116" t="s">
        <v>21</v>
      </c>
      <c r="E116" t="s">
        <v>27</v>
      </c>
      <c r="F116" t="s">
        <v>143</v>
      </c>
      <c r="G116" t="s">
        <v>343</v>
      </c>
      <c r="J116">
        <v>120000</v>
      </c>
    </row>
    <row r="117" spans="1:10" x14ac:dyDescent="0.3">
      <c r="A117" t="s">
        <v>12</v>
      </c>
      <c r="B117">
        <v>1000000116</v>
      </c>
      <c r="C117">
        <v>67000</v>
      </c>
      <c r="D117" t="s">
        <v>22</v>
      </c>
      <c r="E117" t="s">
        <v>28</v>
      </c>
      <c r="F117" t="s">
        <v>144</v>
      </c>
      <c r="G117" t="s">
        <v>344</v>
      </c>
      <c r="J117">
        <v>45000</v>
      </c>
    </row>
    <row r="118" spans="1:10" x14ac:dyDescent="0.3">
      <c r="A118" t="s">
        <v>13</v>
      </c>
      <c r="B118">
        <v>1000000117</v>
      </c>
      <c r="C118">
        <v>56000</v>
      </c>
      <c r="D118" t="s">
        <v>23</v>
      </c>
      <c r="E118" t="s">
        <v>27</v>
      </c>
      <c r="F118" t="s">
        <v>145</v>
      </c>
      <c r="G118" t="s">
        <v>345</v>
      </c>
      <c r="J118">
        <v>98000</v>
      </c>
    </row>
    <row r="119" spans="1:10" x14ac:dyDescent="0.3">
      <c r="A119" t="s">
        <v>14</v>
      </c>
      <c r="B119">
        <v>1000000118</v>
      </c>
      <c r="C119">
        <v>89000</v>
      </c>
      <c r="D119" t="s">
        <v>24</v>
      </c>
      <c r="E119" t="s">
        <v>28</v>
      </c>
      <c r="F119" t="s">
        <v>146</v>
      </c>
      <c r="G119" t="s">
        <v>346</v>
      </c>
      <c r="J119">
        <v>67000</v>
      </c>
    </row>
    <row r="120" spans="1:10" x14ac:dyDescent="0.3">
      <c r="A120" t="s">
        <v>15</v>
      </c>
      <c r="B120">
        <v>1000000119</v>
      </c>
      <c r="C120">
        <v>46000</v>
      </c>
      <c r="D120" t="s">
        <v>25</v>
      </c>
      <c r="E120" t="s">
        <v>27</v>
      </c>
      <c r="F120" t="s">
        <v>147</v>
      </c>
      <c r="G120" t="s">
        <v>347</v>
      </c>
      <c r="J120">
        <v>56000</v>
      </c>
    </row>
    <row r="121" spans="1:10" x14ac:dyDescent="0.3">
      <c r="A121" t="s">
        <v>16</v>
      </c>
      <c r="B121">
        <v>1000000120</v>
      </c>
      <c r="C121">
        <v>77000</v>
      </c>
      <c r="D121" t="s">
        <v>26</v>
      </c>
      <c r="E121" t="s">
        <v>28</v>
      </c>
      <c r="F121" t="s">
        <v>148</v>
      </c>
      <c r="G121" t="s">
        <v>348</v>
      </c>
      <c r="J121">
        <v>89000</v>
      </c>
    </row>
    <row r="122" spans="1:10" x14ac:dyDescent="0.3">
      <c r="A122" t="s">
        <v>7</v>
      </c>
      <c r="B122">
        <v>1000000121</v>
      </c>
      <c r="C122">
        <v>50000</v>
      </c>
      <c r="D122" t="s">
        <v>17</v>
      </c>
      <c r="E122" t="s">
        <v>27</v>
      </c>
      <c r="F122" t="s">
        <v>149</v>
      </c>
      <c r="G122" t="s">
        <v>349</v>
      </c>
      <c r="J122">
        <v>46000</v>
      </c>
    </row>
    <row r="123" spans="1:10" x14ac:dyDescent="0.3">
      <c r="A123" t="s">
        <v>8</v>
      </c>
      <c r="B123">
        <v>1000000122</v>
      </c>
      <c r="C123">
        <v>75000</v>
      </c>
      <c r="D123" t="s">
        <v>18</v>
      </c>
      <c r="E123" t="s">
        <v>28</v>
      </c>
      <c r="F123" t="s">
        <v>150</v>
      </c>
      <c r="G123" t="s">
        <v>350</v>
      </c>
      <c r="J123">
        <v>77000</v>
      </c>
    </row>
    <row r="124" spans="1:10" x14ac:dyDescent="0.3">
      <c r="A124" t="s">
        <v>9</v>
      </c>
      <c r="B124">
        <v>1000000123</v>
      </c>
      <c r="C124">
        <v>120000</v>
      </c>
      <c r="D124" t="s">
        <v>19</v>
      </c>
      <c r="E124" t="s">
        <v>27</v>
      </c>
      <c r="F124" t="s">
        <v>151</v>
      </c>
      <c r="G124" t="s">
        <v>351</v>
      </c>
      <c r="J124">
        <v>50000</v>
      </c>
    </row>
    <row r="125" spans="1:10" x14ac:dyDescent="0.3">
      <c r="A125" t="s">
        <v>10</v>
      </c>
      <c r="B125">
        <v>1000000124</v>
      </c>
      <c r="C125">
        <v>45000</v>
      </c>
      <c r="D125" t="s">
        <v>20</v>
      </c>
      <c r="E125" t="s">
        <v>28</v>
      </c>
      <c r="F125" t="s">
        <v>152</v>
      </c>
      <c r="G125" t="s">
        <v>352</v>
      </c>
      <c r="J125">
        <v>75000</v>
      </c>
    </row>
    <row r="126" spans="1:10" x14ac:dyDescent="0.3">
      <c r="A126" t="s">
        <v>11</v>
      </c>
      <c r="B126">
        <v>1000000125</v>
      </c>
      <c r="C126">
        <v>98000</v>
      </c>
      <c r="D126" t="s">
        <v>21</v>
      </c>
      <c r="E126" t="s">
        <v>27</v>
      </c>
      <c r="F126" t="s">
        <v>153</v>
      </c>
      <c r="G126" t="s">
        <v>353</v>
      </c>
      <c r="J126">
        <v>120000</v>
      </c>
    </row>
    <row r="127" spans="1:10" x14ac:dyDescent="0.3">
      <c r="A127" t="s">
        <v>12</v>
      </c>
      <c r="B127">
        <v>1000000126</v>
      </c>
      <c r="C127">
        <v>67000</v>
      </c>
      <c r="D127" t="s">
        <v>22</v>
      </c>
      <c r="E127" t="s">
        <v>28</v>
      </c>
      <c r="F127" t="s">
        <v>154</v>
      </c>
      <c r="G127" t="s">
        <v>354</v>
      </c>
      <c r="J127">
        <v>45000</v>
      </c>
    </row>
    <row r="128" spans="1:10" x14ac:dyDescent="0.3">
      <c r="A128" t="s">
        <v>13</v>
      </c>
      <c r="B128">
        <v>1000000127</v>
      </c>
      <c r="C128">
        <v>56000</v>
      </c>
      <c r="D128" t="s">
        <v>23</v>
      </c>
      <c r="E128" t="s">
        <v>27</v>
      </c>
      <c r="F128" t="s">
        <v>155</v>
      </c>
      <c r="G128" t="s">
        <v>355</v>
      </c>
      <c r="J128">
        <v>98000</v>
      </c>
    </row>
    <row r="129" spans="1:10" x14ac:dyDescent="0.3">
      <c r="A129" t="s">
        <v>14</v>
      </c>
      <c r="B129">
        <v>1000000128</v>
      </c>
      <c r="C129">
        <v>89000</v>
      </c>
      <c r="D129" t="s">
        <v>24</v>
      </c>
      <c r="E129" t="s">
        <v>28</v>
      </c>
      <c r="F129" t="s">
        <v>156</v>
      </c>
      <c r="G129" t="s">
        <v>356</v>
      </c>
      <c r="J129">
        <v>67000</v>
      </c>
    </row>
    <row r="130" spans="1:10" x14ac:dyDescent="0.3">
      <c r="A130" t="s">
        <v>15</v>
      </c>
      <c r="B130">
        <v>1000000129</v>
      </c>
      <c r="C130">
        <v>46000</v>
      </c>
      <c r="D130" t="s">
        <v>25</v>
      </c>
      <c r="E130" t="s">
        <v>27</v>
      </c>
      <c r="F130" t="s">
        <v>157</v>
      </c>
      <c r="G130" t="s">
        <v>357</v>
      </c>
      <c r="J130">
        <v>56000</v>
      </c>
    </row>
    <row r="131" spans="1:10" x14ac:dyDescent="0.3">
      <c r="A131" t="s">
        <v>16</v>
      </c>
      <c r="B131">
        <v>1000000130</v>
      </c>
      <c r="C131">
        <v>77000</v>
      </c>
      <c r="D131" t="s">
        <v>26</v>
      </c>
      <c r="E131" t="s">
        <v>28</v>
      </c>
      <c r="F131" t="s">
        <v>158</v>
      </c>
      <c r="G131" t="s">
        <v>358</v>
      </c>
      <c r="J131">
        <v>89000</v>
      </c>
    </row>
    <row r="132" spans="1:10" x14ac:dyDescent="0.3">
      <c r="A132" t="s">
        <v>7</v>
      </c>
      <c r="B132">
        <v>1000000131</v>
      </c>
      <c r="C132">
        <v>50000</v>
      </c>
      <c r="D132" t="s">
        <v>17</v>
      </c>
      <c r="E132" t="s">
        <v>27</v>
      </c>
      <c r="F132" t="s">
        <v>159</v>
      </c>
      <c r="G132" t="s">
        <v>359</v>
      </c>
      <c r="J132">
        <v>46000</v>
      </c>
    </row>
    <row r="133" spans="1:10" x14ac:dyDescent="0.3">
      <c r="A133" t="s">
        <v>8</v>
      </c>
      <c r="B133">
        <v>1000000132</v>
      </c>
      <c r="C133">
        <v>75000</v>
      </c>
      <c r="D133" t="s">
        <v>18</v>
      </c>
      <c r="E133" t="s">
        <v>28</v>
      </c>
      <c r="F133" t="s">
        <v>160</v>
      </c>
      <c r="G133" t="s">
        <v>360</v>
      </c>
      <c r="J133">
        <v>77000</v>
      </c>
    </row>
    <row r="134" spans="1:10" x14ac:dyDescent="0.3">
      <c r="A134" t="s">
        <v>9</v>
      </c>
      <c r="B134">
        <v>1000000133</v>
      </c>
      <c r="C134">
        <v>120000</v>
      </c>
      <c r="D134" t="s">
        <v>19</v>
      </c>
      <c r="E134" t="s">
        <v>27</v>
      </c>
      <c r="F134" t="s">
        <v>161</v>
      </c>
      <c r="G134" t="s">
        <v>361</v>
      </c>
      <c r="J134">
        <v>50000</v>
      </c>
    </row>
    <row r="135" spans="1:10" x14ac:dyDescent="0.3">
      <c r="A135" t="s">
        <v>10</v>
      </c>
      <c r="B135">
        <v>1000000134</v>
      </c>
      <c r="C135">
        <v>45000</v>
      </c>
      <c r="D135" t="s">
        <v>20</v>
      </c>
      <c r="E135" t="s">
        <v>28</v>
      </c>
      <c r="F135" t="s">
        <v>162</v>
      </c>
      <c r="G135" t="s">
        <v>362</v>
      </c>
      <c r="J135">
        <v>75000</v>
      </c>
    </row>
    <row r="136" spans="1:10" x14ac:dyDescent="0.3">
      <c r="A136" t="s">
        <v>11</v>
      </c>
      <c r="B136">
        <v>1000000135</v>
      </c>
      <c r="C136">
        <v>98000</v>
      </c>
      <c r="D136" t="s">
        <v>21</v>
      </c>
      <c r="E136" t="s">
        <v>27</v>
      </c>
      <c r="F136" t="s">
        <v>163</v>
      </c>
      <c r="G136" t="s">
        <v>363</v>
      </c>
      <c r="J136">
        <v>120000</v>
      </c>
    </row>
    <row r="137" spans="1:10" x14ac:dyDescent="0.3">
      <c r="A137" t="s">
        <v>12</v>
      </c>
      <c r="B137">
        <v>1000000136</v>
      </c>
      <c r="C137">
        <v>67000</v>
      </c>
      <c r="D137" t="s">
        <v>22</v>
      </c>
      <c r="E137" t="s">
        <v>28</v>
      </c>
      <c r="F137" t="s">
        <v>164</v>
      </c>
      <c r="G137" t="s">
        <v>364</v>
      </c>
      <c r="J137">
        <v>45000</v>
      </c>
    </row>
    <row r="138" spans="1:10" x14ac:dyDescent="0.3">
      <c r="A138" t="s">
        <v>13</v>
      </c>
      <c r="B138">
        <v>1000000137</v>
      </c>
      <c r="C138">
        <v>56000</v>
      </c>
      <c r="D138" t="s">
        <v>23</v>
      </c>
      <c r="E138" t="s">
        <v>27</v>
      </c>
      <c r="F138" t="s">
        <v>165</v>
      </c>
      <c r="G138" t="s">
        <v>365</v>
      </c>
      <c r="J138">
        <v>98000</v>
      </c>
    </row>
    <row r="139" spans="1:10" x14ac:dyDescent="0.3">
      <c r="A139" t="s">
        <v>14</v>
      </c>
      <c r="B139">
        <v>1000000138</v>
      </c>
      <c r="C139">
        <v>89000</v>
      </c>
      <c r="D139" t="s">
        <v>24</v>
      </c>
      <c r="E139" t="s">
        <v>28</v>
      </c>
      <c r="F139" t="s">
        <v>166</v>
      </c>
      <c r="G139" t="s">
        <v>366</v>
      </c>
      <c r="J139">
        <v>67000</v>
      </c>
    </row>
    <row r="140" spans="1:10" x14ac:dyDescent="0.3">
      <c r="A140" t="s">
        <v>15</v>
      </c>
      <c r="B140">
        <v>1000000139</v>
      </c>
      <c r="C140">
        <v>46000</v>
      </c>
      <c r="D140" t="s">
        <v>25</v>
      </c>
      <c r="E140" t="s">
        <v>27</v>
      </c>
      <c r="F140" t="s">
        <v>167</v>
      </c>
      <c r="G140" t="s">
        <v>367</v>
      </c>
      <c r="J140">
        <v>56000</v>
      </c>
    </row>
    <row r="141" spans="1:10" x14ac:dyDescent="0.3">
      <c r="A141" t="s">
        <v>16</v>
      </c>
      <c r="B141">
        <v>1000000140</v>
      </c>
      <c r="C141">
        <v>77000</v>
      </c>
      <c r="D141" t="s">
        <v>26</v>
      </c>
      <c r="E141" t="s">
        <v>28</v>
      </c>
      <c r="F141" t="s">
        <v>168</v>
      </c>
      <c r="G141" t="s">
        <v>368</v>
      </c>
      <c r="J141">
        <v>89000</v>
      </c>
    </row>
    <row r="142" spans="1:10" x14ac:dyDescent="0.3">
      <c r="A142" t="s">
        <v>7</v>
      </c>
      <c r="B142">
        <v>1000000141</v>
      </c>
      <c r="C142">
        <v>50000</v>
      </c>
      <c r="D142" t="s">
        <v>17</v>
      </c>
      <c r="E142" t="s">
        <v>27</v>
      </c>
      <c r="F142" t="s">
        <v>169</v>
      </c>
      <c r="G142" t="s">
        <v>369</v>
      </c>
      <c r="J142">
        <v>46000</v>
      </c>
    </row>
    <row r="143" spans="1:10" x14ac:dyDescent="0.3">
      <c r="A143" t="s">
        <v>8</v>
      </c>
      <c r="B143">
        <v>1000000142</v>
      </c>
      <c r="C143">
        <v>75000</v>
      </c>
      <c r="D143" t="s">
        <v>18</v>
      </c>
      <c r="E143" t="s">
        <v>28</v>
      </c>
      <c r="F143" t="s">
        <v>170</v>
      </c>
      <c r="G143" t="s">
        <v>370</v>
      </c>
      <c r="J143">
        <v>77000</v>
      </c>
    </row>
    <row r="144" spans="1:10" x14ac:dyDescent="0.3">
      <c r="A144" t="s">
        <v>9</v>
      </c>
      <c r="B144">
        <v>1000000143</v>
      </c>
      <c r="C144">
        <v>120000</v>
      </c>
      <c r="D144" t="s">
        <v>19</v>
      </c>
      <c r="E144" t="s">
        <v>27</v>
      </c>
      <c r="F144" t="s">
        <v>171</v>
      </c>
      <c r="G144" t="s">
        <v>371</v>
      </c>
      <c r="J144">
        <v>50000</v>
      </c>
    </row>
    <row r="145" spans="1:10" x14ac:dyDescent="0.3">
      <c r="A145" t="s">
        <v>10</v>
      </c>
      <c r="B145">
        <v>1000000144</v>
      </c>
      <c r="C145">
        <v>45000</v>
      </c>
      <c r="D145" t="s">
        <v>20</v>
      </c>
      <c r="E145" t="s">
        <v>28</v>
      </c>
      <c r="F145" t="s">
        <v>172</v>
      </c>
      <c r="G145" t="s">
        <v>372</v>
      </c>
      <c r="J145">
        <v>75000</v>
      </c>
    </row>
    <row r="146" spans="1:10" x14ac:dyDescent="0.3">
      <c r="A146" t="s">
        <v>11</v>
      </c>
      <c r="B146">
        <v>1000000145</v>
      </c>
      <c r="C146">
        <v>98000</v>
      </c>
      <c r="D146" t="s">
        <v>21</v>
      </c>
      <c r="E146" t="s">
        <v>27</v>
      </c>
      <c r="F146" t="s">
        <v>173</v>
      </c>
      <c r="G146" t="s">
        <v>373</v>
      </c>
      <c r="J146">
        <v>120000</v>
      </c>
    </row>
    <row r="147" spans="1:10" x14ac:dyDescent="0.3">
      <c r="A147" t="s">
        <v>12</v>
      </c>
      <c r="B147">
        <v>1000000146</v>
      </c>
      <c r="C147">
        <v>67000</v>
      </c>
      <c r="D147" t="s">
        <v>22</v>
      </c>
      <c r="E147" t="s">
        <v>28</v>
      </c>
      <c r="F147" t="s">
        <v>174</v>
      </c>
      <c r="G147" t="s">
        <v>374</v>
      </c>
      <c r="J147">
        <v>45000</v>
      </c>
    </row>
    <row r="148" spans="1:10" x14ac:dyDescent="0.3">
      <c r="A148" t="s">
        <v>13</v>
      </c>
      <c r="B148">
        <v>1000000147</v>
      </c>
      <c r="C148">
        <v>56000</v>
      </c>
      <c r="D148" t="s">
        <v>23</v>
      </c>
      <c r="E148" t="s">
        <v>27</v>
      </c>
      <c r="F148" t="s">
        <v>175</v>
      </c>
      <c r="G148" t="s">
        <v>375</v>
      </c>
      <c r="J148">
        <v>98000</v>
      </c>
    </row>
    <row r="149" spans="1:10" x14ac:dyDescent="0.3">
      <c r="A149" t="s">
        <v>14</v>
      </c>
      <c r="B149">
        <v>1000000148</v>
      </c>
      <c r="C149">
        <v>89000</v>
      </c>
      <c r="D149" t="s">
        <v>24</v>
      </c>
      <c r="E149" t="s">
        <v>28</v>
      </c>
      <c r="F149" t="s">
        <v>176</v>
      </c>
      <c r="G149" t="s">
        <v>376</v>
      </c>
      <c r="J149">
        <v>67000</v>
      </c>
    </row>
    <row r="150" spans="1:10" x14ac:dyDescent="0.3">
      <c r="A150" t="s">
        <v>15</v>
      </c>
      <c r="B150">
        <v>1000000149</v>
      </c>
      <c r="C150">
        <v>46000</v>
      </c>
      <c r="D150" t="s">
        <v>25</v>
      </c>
      <c r="E150" t="s">
        <v>27</v>
      </c>
      <c r="F150" t="s">
        <v>177</v>
      </c>
      <c r="G150" t="s">
        <v>377</v>
      </c>
      <c r="J150">
        <v>56000</v>
      </c>
    </row>
    <row r="151" spans="1:10" x14ac:dyDescent="0.3">
      <c r="A151" t="s">
        <v>16</v>
      </c>
      <c r="B151">
        <v>1000000150</v>
      </c>
      <c r="C151">
        <v>77000</v>
      </c>
      <c r="D151" t="s">
        <v>26</v>
      </c>
      <c r="E151" t="s">
        <v>28</v>
      </c>
      <c r="F151" t="s">
        <v>178</v>
      </c>
      <c r="G151" t="s">
        <v>378</v>
      </c>
      <c r="J151">
        <v>89000</v>
      </c>
    </row>
    <row r="152" spans="1:10" x14ac:dyDescent="0.3">
      <c r="A152" t="s">
        <v>7</v>
      </c>
      <c r="B152">
        <v>1000000151</v>
      </c>
      <c r="C152">
        <v>50000</v>
      </c>
      <c r="D152" t="s">
        <v>17</v>
      </c>
      <c r="E152" t="s">
        <v>27</v>
      </c>
      <c r="F152" t="s">
        <v>179</v>
      </c>
      <c r="G152" t="s">
        <v>379</v>
      </c>
      <c r="J152">
        <v>46000</v>
      </c>
    </row>
    <row r="153" spans="1:10" x14ac:dyDescent="0.3">
      <c r="A153" t="s">
        <v>8</v>
      </c>
      <c r="B153">
        <v>1000000152</v>
      </c>
      <c r="C153">
        <v>75000</v>
      </c>
      <c r="D153" t="s">
        <v>18</v>
      </c>
      <c r="E153" t="s">
        <v>28</v>
      </c>
      <c r="F153" t="s">
        <v>180</v>
      </c>
      <c r="G153" t="s">
        <v>380</v>
      </c>
      <c r="J153">
        <v>77000</v>
      </c>
    </row>
    <row r="154" spans="1:10" x14ac:dyDescent="0.3">
      <c r="A154" t="s">
        <v>9</v>
      </c>
      <c r="B154">
        <v>1000000153</v>
      </c>
      <c r="C154">
        <v>120000</v>
      </c>
      <c r="D154" t="s">
        <v>19</v>
      </c>
      <c r="E154" t="s">
        <v>27</v>
      </c>
      <c r="F154" t="s">
        <v>181</v>
      </c>
      <c r="G154" t="s">
        <v>381</v>
      </c>
      <c r="J154">
        <v>50000</v>
      </c>
    </row>
    <row r="155" spans="1:10" x14ac:dyDescent="0.3">
      <c r="A155" t="s">
        <v>10</v>
      </c>
      <c r="B155">
        <v>1000000154</v>
      </c>
      <c r="C155">
        <v>45000</v>
      </c>
      <c r="D155" t="s">
        <v>20</v>
      </c>
      <c r="E155" t="s">
        <v>28</v>
      </c>
      <c r="F155" t="s">
        <v>182</v>
      </c>
      <c r="G155" t="s">
        <v>382</v>
      </c>
      <c r="J155">
        <v>75000</v>
      </c>
    </row>
    <row r="156" spans="1:10" x14ac:dyDescent="0.3">
      <c r="A156" t="s">
        <v>11</v>
      </c>
      <c r="B156">
        <v>1000000155</v>
      </c>
      <c r="C156">
        <v>98000</v>
      </c>
      <c r="D156" t="s">
        <v>21</v>
      </c>
      <c r="E156" t="s">
        <v>27</v>
      </c>
      <c r="F156" t="s">
        <v>183</v>
      </c>
      <c r="G156" t="s">
        <v>383</v>
      </c>
      <c r="J156">
        <v>120000</v>
      </c>
    </row>
    <row r="157" spans="1:10" x14ac:dyDescent="0.3">
      <c r="A157" t="s">
        <v>12</v>
      </c>
      <c r="B157">
        <v>1000000156</v>
      </c>
      <c r="C157">
        <v>67000</v>
      </c>
      <c r="D157" t="s">
        <v>22</v>
      </c>
      <c r="E157" t="s">
        <v>28</v>
      </c>
      <c r="F157" t="s">
        <v>184</v>
      </c>
      <c r="G157" t="s">
        <v>384</v>
      </c>
      <c r="J157">
        <v>45000</v>
      </c>
    </row>
    <row r="158" spans="1:10" x14ac:dyDescent="0.3">
      <c r="A158" t="s">
        <v>13</v>
      </c>
      <c r="B158">
        <v>1000000157</v>
      </c>
      <c r="C158">
        <v>56000</v>
      </c>
      <c r="D158" t="s">
        <v>23</v>
      </c>
      <c r="E158" t="s">
        <v>27</v>
      </c>
      <c r="F158" t="s">
        <v>185</v>
      </c>
      <c r="G158" t="s">
        <v>385</v>
      </c>
      <c r="J158">
        <v>98000</v>
      </c>
    </row>
    <row r="159" spans="1:10" x14ac:dyDescent="0.3">
      <c r="A159" t="s">
        <v>14</v>
      </c>
      <c r="B159">
        <v>1000000158</v>
      </c>
      <c r="C159">
        <v>89000</v>
      </c>
      <c r="D159" t="s">
        <v>24</v>
      </c>
      <c r="E159" t="s">
        <v>28</v>
      </c>
      <c r="F159" t="s">
        <v>186</v>
      </c>
      <c r="G159" t="s">
        <v>386</v>
      </c>
      <c r="J159">
        <v>67000</v>
      </c>
    </row>
    <row r="160" spans="1:10" x14ac:dyDescent="0.3">
      <c r="A160" t="s">
        <v>15</v>
      </c>
      <c r="B160">
        <v>1000000159</v>
      </c>
      <c r="C160">
        <v>46000</v>
      </c>
      <c r="D160" t="s">
        <v>25</v>
      </c>
      <c r="E160" t="s">
        <v>27</v>
      </c>
      <c r="F160" t="s">
        <v>187</v>
      </c>
      <c r="G160" t="s">
        <v>387</v>
      </c>
      <c r="J160">
        <v>56000</v>
      </c>
    </row>
    <row r="161" spans="1:10" x14ac:dyDescent="0.3">
      <c r="A161" t="s">
        <v>16</v>
      </c>
      <c r="B161">
        <v>1000000160</v>
      </c>
      <c r="C161">
        <v>77000</v>
      </c>
      <c r="D161" t="s">
        <v>26</v>
      </c>
      <c r="E161" t="s">
        <v>28</v>
      </c>
      <c r="F161" t="s">
        <v>188</v>
      </c>
      <c r="G161" t="s">
        <v>388</v>
      </c>
      <c r="J161">
        <v>89000</v>
      </c>
    </row>
    <row r="162" spans="1:10" x14ac:dyDescent="0.3">
      <c r="A162" t="s">
        <v>7</v>
      </c>
      <c r="B162">
        <v>1000000161</v>
      </c>
      <c r="C162">
        <v>50000</v>
      </c>
      <c r="D162" t="s">
        <v>17</v>
      </c>
      <c r="E162" t="s">
        <v>27</v>
      </c>
      <c r="F162" t="s">
        <v>189</v>
      </c>
      <c r="G162" t="s">
        <v>389</v>
      </c>
      <c r="J162">
        <v>46000</v>
      </c>
    </row>
    <row r="163" spans="1:10" x14ac:dyDescent="0.3">
      <c r="A163" t="s">
        <v>8</v>
      </c>
      <c r="B163">
        <v>1000000162</v>
      </c>
      <c r="C163">
        <v>75000</v>
      </c>
      <c r="D163" t="s">
        <v>18</v>
      </c>
      <c r="E163" t="s">
        <v>28</v>
      </c>
      <c r="F163" t="s">
        <v>190</v>
      </c>
      <c r="G163" t="s">
        <v>390</v>
      </c>
      <c r="J163">
        <v>77000</v>
      </c>
    </row>
    <row r="164" spans="1:10" x14ac:dyDescent="0.3">
      <c r="A164" t="s">
        <v>9</v>
      </c>
      <c r="B164">
        <v>1000000163</v>
      </c>
      <c r="C164">
        <v>120000</v>
      </c>
      <c r="D164" t="s">
        <v>19</v>
      </c>
      <c r="E164" t="s">
        <v>27</v>
      </c>
      <c r="F164" t="s">
        <v>191</v>
      </c>
      <c r="G164" t="s">
        <v>391</v>
      </c>
      <c r="J164">
        <v>50000</v>
      </c>
    </row>
    <row r="165" spans="1:10" x14ac:dyDescent="0.3">
      <c r="A165" t="s">
        <v>10</v>
      </c>
      <c r="B165">
        <v>1000000164</v>
      </c>
      <c r="C165">
        <v>45000</v>
      </c>
      <c r="D165" t="s">
        <v>20</v>
      </c>
      <c r="E165" t="s">
        <v>28</v>
      </c>
      <c r="F165" t="s">
        <v>192</v>
      </c>
      <c r="G165" t="s">
        <v>392</v>
      </c>
      <c r="J165">
        <v>75000</v>
      </c>
    </row>
    <row r="166" spans="1:10" x14ac:dyDescent="0.3">
      <c r="A166" t="s">
        <v>11</v>
      </c>
      <c r="B166">
        <v>1000000165</v>
      </c>
      <c r="C166">
        <v>98000</v>
      </c>
      <c r="D166" t="s">
        <v>21</v>
      </c>
      <c r="E166" t="s">
        <v>27</v>
      </c>
      <c r="F166" t="s">
        <v>193</v>
      </c>
      <c r="G166" t="s">
        <v>393</v>
      </c>
      <c r="J166">
        <v>120000</v>
      </c>
    </row>
    <row r="167" spans="1:10" x14ac:dyDescent="0.3">
      <c r="A167" t="s">
        <v>12</v>
      </c>
      <c r="B167">
        <v>1000000166</v>
      </c>
      <c r="C167">
        <v>67000</v>
      </c>
      <c r="D167" t="s">
        <v>22</v>
      </c>
      <c r="E167" t="s">
        <v>28</v>
      </c>
      <c r="F167" t="s">
        <v>194</v>
      </c>
      <c r="G167" t="s">
        <v>394</v>
      </c>
      <c r="J167">
        <v>45000</v>
      </c>
    </row>
    <row r="168" spans="1:10" x14ac:dyDescent="0.3">
      <c r="A168" t="s">
        <v>13</v>
      </c>
      <c r="B168">
        <v>1000000167</v>
      </c>
      <c r="C168">
        <v>56000</v>
      </c>
      <c r="D168" t="s">
        <v>23</v>
      </c>
      <c r="E168" t="s">
        <v>27</v>
      </c>
      <c r="F168" t="s">
        <v>195</v>
      </c>
      <c r="G168" t="s">
        <v>395</v>
      </c>
      <c r="J168">
        <v>98000</v>
      </c>
    </row>
    <row r="169" spans="1:10" x14ac:dyDescent="0.3">
      <c r="A169" t="s">
        <v>14</v>
      </c>
      <c r="B169">
        <v>1000000168</v>
      </c>
      <c r="C169">
        <v>89000</v>
      </c>
      <c r="D169" t="s">
        <v>24</v>
      </c>
      <c r="E169" t="s">
        <v>28</v>
      </c>
      <c r="F169" t="s">
        <v>196</v>
      </c>
      <c r="G169" t="s">
        <v>396</v>
      </c>
      <c r="J169">
        <v>67000</v>
      </c>
    </row>
    <row r="170" spans="1:10" x14ac:dyDescent="0.3">
      <c r="A170" t="s">
        <v>15</v>
      </c>
      <c r="B170">
        <v>1000000169</v>
      </c>
      <c r="C170">
        <v>46000</v>
      </c>
      <c r="D170" t="s">
        <v>25</v>
      </c>
      <c r="E170" t="s">
        <v>27</v>
      </c>
      <c r="F170" t="s">
        <v>197</v>
      </c>
      <c r="G170" t="s">
        <v>397</v>
      </c>
      <c r="J170">
        <v>56000</v>
      </c>
    </row>
    <row r="171" spans="1:10" x14ac:dyDescent="0.3">
      <c r="A171" t="s">
        <v>16</v>
      </c>
      <c r="B171">
        <v>1000000170</v>
      </c>
      <c r="C171">
        <v>77000</v>
      </c>
      <c r="D171" t="s">
        <v>26</v>
      </c>
      <c r="E171" t="s">
        <v>28</v>
      </c>
      <c r="F171" t="s">
        <v>198</v>
      </c>
      <c r="G171" t="s">
        <v>398</v>
      </c>
      <c r="J171">
        <v>89000</v>
      </c>
    </row>
    <row r="172" spans="1:10" x14ac:dyDescent="0.3">
      <c r="A172" t="s">
        <v>7</v>
      </c>
      <c r="B172">
        <v>1000000171</v>
      </c>
      <c r="C172">
        <v>50000</v>
      </c>
      <c r="D172" t="s">
        <v>17</v>
      </c>
      <c r="E172" t="s">
        <v>27</v>
      </c>
      <c r="F172" t="s">
        <v>199</v>
      </c>
      <c r="G172" t="s">
        <v>399</v>
      </c>
      <c r="J172">
        <v>46000</v>
      </c>
    </row>
    <row r="173" spans="1:10" x14ac:dyDescent="0.3">
      <c r="A173" t="s">
        <v>8</v>
      </c>
      <c r="B173">
        <v>1000000172</v>
      </c>
      <c r="C173">
        <v>75000</v>
      </c>
      <c r="D173" t="s">
        <v>18</v>
      </c>
      <c r="E173" t="s">
        <v>28</v>
      </c>
      <c r="F173" t="s">
        <v>200</v>
      </c>
      <c r="G173" t="s">
        <v>400</v>
      </c>
      <c r="J173">
        <v>77000</v>
      </c>
    </row>
    <row r="174" spans="1:10" x14ac:dyDescent="0.3">
      <c r="A174" t="s">
        <v>9</v>
      </c>
      <c r="B174">
        <v>1000000173</v>
      </c>
      <c r="C174">
        <v>120000</v>
      </c>
      <c r="D174" t="s">
        <v>19</v>
      </c>
      <c r="E174" t="s">
        <v>27</v>
      </c>
      <c r="F174" t="s">
        <v>201</v>
      </c>
      <c r="G174" t="s">
        <v>401</v>
      </c>
      <c r="J174">
        <v>50000</v>
      </c>
    </row>
    <row r="175" spans="1:10" x14ac:dyDescent="0.3">
      <c r="A175" t="s">
        <v>10</v>
      </c>
      <c r="B175">
        <v>1000000174</v>
      </c>
      <c r="C175">
        <v>45000</v>
      </c>
      <c r="D175" t="s">
        <v>20</v>
      </c>
      <c r="E175" t="s">
        <v>28</v>
      </c>
      <c r="F175" t="s">
        <v>202</v>
      </c>
      <c r="G175" t="s">
        <v>402</v>
      </c>
      <c r="J175">
        <v>75000</v>
      </c>
    </row>
    <row r="176" spans="1:10" x14ac:dyDescent="0.3">
      <c r="A176" t="s">
        <v>11</v>
      </c>
      <c r="B176">
        <v>1000000175</v>
      </c>
      <c r="C176">
        <v>98000</v>
      </c>
      <c r="D176" t="s">
        <v>21</v>
      </c>
      <c r="E176" t="s">
        <v>27</v>
      </c>
      <c r="F176" t="s">
        <v>203</v>
      </c>
      <c r="G176" t="s">
        <v>403</v>
      </c>
      <c r="J176">
        <v>120000</v>
      </c>
    </row>
    <row r="177" spans="1:10" x14ac:dyDescent="0.3">
      <c r="A177" t="s">
        <v>12</v>
      </c>
      <c r="B177">
        <v>1000000176</v>
      </c>
      <c r="C177">
        <v>67000</v>
      </c>
      <c r="D177" t="s">
        <v>22</v>
      </c>
      <c r="E177" t="s">
        <v>28</v>
      </c>
      <c r="F177" t="s">
        <v>204</v>
      </c>
      <c r="G177" t="s">
        <v>404</v>
      </c>
      <c r="J177">
        <v>45000</v>
      </c>
    </row>
    <row r="178" spans="1:10" x14ac:dyDescent="0.3">
      <c r="A178" t="s">
        <v>13</v>
      </c>
      <c r="B178">
        <v>1000000177</v>
      </c>
      <c r="C178">
        <v>56000</v>
      </c>
      <c r="D178" t="s">
        <v>23</v>
      </c>
      <c r="E178" t="s">
        <v>27</v>
      </c>
      <c r="F178" t="s">
        <v>205</v>
      </c>
      <c r="G178" t="s">
        <v>405</v>
      </c>
      <c r="J178">
        <v>98000</v>
      </c>
    </row>
    <row r="179" spans="1:10" x14ac:dyDescent="0.3">
      <c r="A179" t="s">
        <v>14</v>
      </c>
      <c r="B179">
        <v>1000000178</v>
      </c>
      <c r="C179">
        <v>89000</v>
      </c>
      <c r="D179" t="s">
        <v>24</v>
      </c>
      <c r="E179" t="s">
        <v>28</v>
      </c>
      <c r="F179" t="s">
        <v>206</v>
      </c>
      <c r="G179" t="s">
        <v>406</v>
      </c>
      <c r="J179">
        <v>67000</v>
      </c>
    </row>
    <row r="180" spans="1:10" x14ac:dyDescent="0.3">
      <c r="A180" t="s">
        <v>15</v>
      </c>
      <c r="B180">
        <v>1000000179</v>
      </c>
      <c r="C180">
        <v>46000</v>
      </c>
      <c r="D180" t="s">
        <v>25</v>
      </c>
      <c r="E180" t="s">
        <v>27</v>
      </c>
      <c r="F180" t="s">
        <v>207</v>
      </c>
      <c r="G180" t="s">
        <v>407</v>
      </c>
      <c r="J180">
        <v>56000</v>
      </c>
    </row>
    <row r="181" spans="1:10" x14ac:dyDescent="0.3">
      <c r="A181" t="s">
        <v>16</v>
      </c>
      <c r="B181">
        <v>1000000180</v>
      </c>
      <c r="C181">
        <v>77000</v>
      </c>
      <c r="D181" t="s">
        <v>26</v>
      </c>
      <c r="E181" t="s">
        <v>28</v>
      </c>
      <c r="F181" t="s">
        <v>208</v>
      </c>
      <c r="G181" t="s">
        <v>408</v>
      </c>
      <c r="J181">
        <v>89000</v>
      </c>
    </row>
    <row r="182" spans="1:10" x14ac:dyDescent="0.3">
      <c r="A182" t="s">
        <v>7</v>
      </c>
      <c r="B182">
        <v>1000000181</v>
      </c>
      <c r="C182">
        <v>50000</v>
      </c>
      <c r="D182" t="s">
        <v>17</v>
      </c>
      <c r="E182" t="s">
        <v>27</v>
      </c>
      <c r="F182" t="s">
        <v>209</v>
      </c>
      <c r="G182" t="s">
        <v>409</v>
      </c>
      <c r="J182">
        <v>46000</v>
      </c>
    </row>
    <row r="183" spans="1:10" x14ac:dyDescent="0.3">
      <c r="A183" t="s">
        <v>8</v>
      </c>
      <c r="B183">
        <v>1000000182</v>
      </c>
      <c r="C183">
        <v>75000</v>
      </c>
      <c r="D183" t="s">
        <v>18</v>
      </c>
      <c r="E183" t="s">
        <v>28</v>
      </c>
      <c r="F183" t="s">
        <v>210</v>
      </c>
      <c r="G183" t="s">
        <v>410</v>
      </c>
      <c r="J183">
        <v>77000</v>
      </c>
    </row>
    <row r="184" spans="1:10" x14ac:dyDescent="0.3">
      <c r="A184" t="s">
        <v>9</v>
      </c>
      <c r="B184">
        <v>1000000183</v>
      </c>
      <c r="C184">
        <v>120000</v>
      </c>
      <c r="D184" t="s">
        <v>19</v>
      </c>
      <c r="E184" t="s">
        <v>27</v>
      </c>
      <c r="F184" t="s">
        <v>211</v>
      </c>
      <c r="G184" t="s">
        <v>411</v>
      </c>
      <c r="J184">
        <v>50000</v>
      </c>
    </row>
    <row r="185" spans="1:10" x14ac:dyDescent="0.3">
      <c r="A185" t="s">
        <v>10</v>
      </c>
      <c r="B185">
        <v>1000000184</v>
      </c>
      <c r="C185">
        <v>45000</v>
      </c>
      <c r="D185" t="s">
        <v>20</v>
      </c>
      <c r="E185" t="s">
        <v>28</v>
      </c>
      <c r="F185" t="s">
        <v>212</v>
      </c>
      <c r="G185" t="s">
        <v>412</v>
      </c>
      <c r="J185">
        <v>75000</v>
      </c>
    </row>
    <row r="186" spans="1:10" x14ac:dyDescent="0.3">
      <c r="A186" t="s">
        <v>11</v>
      </c>
      <c r="B186">
        <v>1000000185</v>
      </c>
      <c r="C186">
        <v>98000</v>
      </c>
      <c r="D186" t="s">
        <v>21</v>
      </c>
      <c r="E186" t="s">
        <v>27</v>
      </c>
      <c r="F186" t="s">
        <v>213</v>
      </c>
      <c r="G186" t="s">
        <v>413</v>
      </c>
      <c r="J186">
        <v>120000</v>
      </c>
    </row>
    <row r="187" spans="1:10" x14ac:dyDescent="0.3">
      <c r="A187" t="s">
        <v>12</v>
      </c>
      <c r="B187">
        <v>1000000186</v>
      </c>
      <c r="C187">
        <v>67000</v>
      </c>
      <c r="D187" t="s">
        <v>22</v>
      </c>
      <c r="E187" t="s">
        <v>28</v>
      </c>
      <c r="F187" t="s">
        <v>214</v>
      </c>
      <c r="G187" t="s">
        <v>414</v>
      </c>
      <c r="J187">
        <v>45000</v>
      </c>
    </row>
    <row r="188" spans="1:10" x14ac:dyDescent="0.3">
      <c r="A188" t="s">
        <v>13</v>
      </c>
      <c r="B188">
        <v>1000000187</v>
      </c>
      <c r="C188">
        <v>56000</v>
      </c>
      <c r="D188" t="s">
        <v>23</v>
      </c>
      <c r="E188" t="s">
        <v>27</v>
      </c>
      <c r="F188" t="s">
        <v>215</v>
      </c>
      <c r="G188" t="s">
        <v>415</v>
      </c>
      <c r="J188">
        <v>98000</v>
      </c>
    </row>
    <row r="189" spans="1:10" x14ac:dyDescent="0.3">
      <c r="A189" t="s">
        <v>14</v>
      </c>
      <c r="B189">
        <v>1000000188</v>
      </c>
      <c r="C189">
        <v>89000</v>
      </c>
      <c r="D189" t="s">
        <v>24</v>
      </c>
      <c r="E189" t="s">
        <v>28</v>
      </c>
      <c r="F189" t="s">
        <v>216</v>
      </c>
      <c r="G189" t="s">
        <v>416</v>
      </c>
      <c r="J189">
        <v>67000</v>
      </c>
    </row>
    <row r="190" spans="1:10" x14ac:dyDescent="0.3">
      <c r="A190" t="s">
        <v>15</v>
      </c>
      <c r="B190">
        <v>1000000189</v>
      </c>
      <c r="C190">
        <v>46000</v>
      </c>
      <c r="D190" t="s">
        <v>25</v>
      </c>
      <c r="E190" t="s">
        <v>27</v>
      </c>
      <c r="F190" t="s">
        <v>217</v>
      </c>
      <c r="G190" t="s">
        <v>417</v>
      </c>
      <c r="J190">
        <v>56000</v>
      </c>
    </row>
    <row r="191" spans="1:10" x14ac:dyDescent="0.3">
      <c r="A191" t="s">
        <v>16</v>
      </c>
      <c r="B191">
        <v>1000000190</v>
      </c>
      <c r="C191">
        <v>77000</v>
      </c>
      <c r="D191" t="s">
        <v>26</v>
      </c>
      <c r="E191" t="s">
        <v>28</v>
      </c>
      <c r="F191" t="s">
        <v>218</v>
      </c>
      <c r="G191" t="s">
        <v>418</v>
      </c>
      <c r="J191">
        <v>89000</v>
      </c>
    </row>
    <row r="192" spans="1:10" x14ac:dyDescent="0.3">
      <c r="A192" t="s">
        <v>7</v>
      </c>
      <c r="B192">
        <v>1000000191</v>
      </c>
      <c r="C192">
        <v>50000</v>
      </c>
      <c r="D192" t="s">
        <v>17</v>
      </c>
      <c r="E192" t="s">
        <v>27</v>
      </c>
      <c r="F192" t="s">
        <v>219</v>
      </c>
      <c r="G192" t="s">
        <v>419</v>
      </c>
      <c r="J192">
        <v>46000</v>
      </c>
    </row>
    <row r="193" spans="1:10" x14ac:dyDescent="0.3">
      <c r="A193" t="s">
        <v>8</v>
      </c>
      <c r="B193">
        <v>1000000192</v>
      </c>
      <c r="C193">
        <v>75000</v>
      </c>
      <c r="D193" t="s">
        <v>18</v>
      </c>
      <c r="E193" t="s">
        <v>28</v>
      </c>
      <c r="F193" t="s">
        <v>220</v>
      </c>
      <c r="G193" t="s">
        <v>420</v>
      </c>
      <c r="J193">
        <v>77000</v>
      </c>
    </row>
    <row r="194" spans="1:10" x14ac:dyDescent="0.3">
      <c r="A194" t="s">
        <v>9</v>
      </c>
      <c r="B194">
        <v>1000000193</v>
      </c>
      <c r="C194">
        <v>120000</v>
      </c>
      <c r="D194" t="s">
        <v>19</v>
      </c>
      <c r="E194" t="s">
        <v>27</v>
      </c>
      <c r="F194" t="s">
        <v>221</v>
      </c>
      <c r="G194" t="s">
        <v>421</v>
      </c>
      <c r="J194">
        <v>50000</v>
      </c>
    </row>
    <row r="195" spans="1:10" x14ac:dyDescent="0.3">
      <c r="A195" t="s">
        <v>10</v>
      </c>
      <c r="B195">
        <v>1000000194</v>
      </c>
      <c r="C195">
        <v>45000</v>
      </c>
      <c r="D195" t="s">
        <v>20</v>
      </c>
      <c r="E195" t="s">
        <v>28</v>
      </c>
      <c r="F195" t="s">
        <v>222</v>
      </c>
      <c r="G195" t="s">
        <v>422</v>
      </c>
      <c r="J195">
        <v>75000</v>
      </c>
    </row>
    <row r="196" spans="1:10" x14ac:dyDescent="0.3">
      <c r="A196" t="s">
        <v>11</v>
      </c>
      <c r="B196">
        <v>1000000195</v>
      </c>
      <c r="C196">
        <v>98000</v>
      </c>
      <c r="D196" t="s">
        <v>21</v>
      </c>
      <c r="E196" t="s">
        <v>27</v>
      </c>
      <c r="F196" t="s">
        <v>223</v>
      </c>
      <c r="G196" t="s">
        <v>423</v>
      </c>
      <c r="J196">
        <v>120000</v>
      </c>
    </row>
    <row r="197" spans="1:10" x14ac:dyDescent="0.3">
      <c r="A197" t="s">
        <v>12</v>
      </c>
      <c r="B197">
        <v>1000000196</v>
      </c>
      <c r="C197">
        <v>67000</v>
      </c>
      <c r="D197" t="s">
        <v>22</v>
      </c>
      <c r="E197" t="s">
        <v>28</v>
      </c>
      <c r="F197" t="s">
        <v>224</v>
      </c>
      <c r="G197" t="s">
        <v>424</v>
      </c>
      <c r="J197">
        <v>45000</v>
      </c>
    </row>
    <row r="198" spans="1:10" x14ac:dyDescent="0.3">
      <c r="A198" t="s">
        <v>13</v>
      </c>
      <c r="B198">
        <v>1000000197</v>
      </c>
      <c r="C198">
        <v>56000</v>
      </c>
      <c r="D198" t="s">
        <v>23</v>
      </c>
      <c r="E198" t="s">
        <v>27</v>
      </c>
      <c r="F198" t="s">
        <v>225</v>
      </c>
      <c r="G198" t="s">
        <v>425</v>
      </c>
      <c r="J198">
        <v>98000</v>
      </c>
    </row>
    <row r="199" spans="1:10" x14ac:dyDescent="0.3">
      <c r="A199" t="s">
        <v>14</v>
      </c>
      <c r="B199">
        <v>1000000198</v>
      </c>
      <c r="C199">
        <v>89000</v>
      </c>
      <c r="D199" t="s">
        <v>24</v>
      </c>
      <c r="E199" t="s">
        <v>28</v>
      </c>
      <c r="F199" t="s">
        <v>226</v>
      </c>
      <c r="G199" t="s">
        <v>426</v>
      </c>
      <c r="J199">
        <v>67000</v>
      </c>
    </row>
    <row r="200" spans="1:10" x14ac:dyDescent="0.3">
      <c r="A200" t="s">
        <v>15</v>
      </c>
      <c r="B200">
        <v>1000000199</v>
      </c>
      <c r="C200">
        <v>46000</v>
      </c>
      <c r="D200" t="s">
        <v>25</v>
      </c>
      <c r="E200" t="s">
        <v>27</v>
      </c>
      <c r="F200" t="s">
        <v>227</v>
      </c>
      <c r="G200" t="s">
        <v>427</v>
      </c>
      <c r="J200">
        <v>56000</v>
      </c>
    </row>
    <row r="201" spans="1:10" x14ac:dyDescent="0.3">
      <c r="A201" t="s">
        <v>16</v>
      </c>
      <c r="B201">
        <v>1000000200</v>
      </c>
      <c r="C201">
        <v>77000</v>
      </c>
      <c r="D201" t="s">
        <v>26</v>
      </c>
      <c r="E201" t="s">
        <v>28</v>
      </c>
      <c r="F201" t="s">
        <v>228</v>
      </c>
      <c r="G201" t="s">
        <v>428</v>
      </c>
      <c r="J201">
        <v>89000</v>
      </c>
    </row>
    <row r="202" spans="1:10" x14ac:dyDescent="0.3">
      <c r="J202">
        <v>46000</v>
      </c>
    </row>
    <row r="203" spans="1:10" x14ac:dyDescent="0.3">
      <c r="J203">
        <v>77000</v>
      </c>
    </row>
    <row r="204" spans="1:10" x14ac:dyDescent="0.3">
      <c r="J204">
        <v>50000</v>
      </c>
    </row>
    <row r="205" spans="1:10" x14ac:dyDescent="0.3">
      <c r="J205">
        <v>75000</v>
      </c>
    </row>
    <row r="206" spans="1:10" x14ac:dyDescent="0.3">
      <c r="J206">
        <v>120000</v>
      </c>
    </row>
    <row r="207" spans="1:10" x14ac:dyDescent="0.3">
      <c r="J207">
        <v>45000</v>
      </c>
    </row>
    <row r="208" spans="1:10" x14ac:dyDescent="0.3">
      <c r="J208">
        <v>98000</v>
      </c>
    </row>
    <row r="209" spans="10:10" x14ac:dyDescent="0.3">
      <c r="J209">
        <v>67000</v>
      </c>
    </row>
    <row r="210" spans="10:10" x14ac:dyDescent="0.3">
      <c r="J210">
        <v>56000</v>
      </c>
    </row>
    <row r="211" spans="10:10" x14ac:dyDescent="0.3">
      <c r="J211">
        <v>89000</v>
      </c>
    </row>
    <row r="212" spans="10:10" x14ac:dyDescent="0.3">
      <c r="J212">
        <v>46000</v>
      </c>
    </row>
    <row r="213" spans="10:10" x14ac:dyDescent="0.3">
      <c r="J213">
        <v>77000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77F85-AA97-4656-84AE-129130A3B641}">
  <dimension ref="A1:S102"/>
  <sheetViews>
    <sheetView zoomScaleNormal="100" workbookViewId="0">
      <selection activeCell="J5" sqref="J5"/>
    </sheetView>
  </sheetViews>
  <sheetFormatPr defaultRowHeight="14.4" x14ac:dyDescent="0.3"/>
  <cols>
    <col min="1" max="1" width="14.6640625" bestFit="1" customWidth="1"/>
    <col min="2" max="2" width="15.44140625" bestFit="1" customWidth="1"/>
    <col min="3" max="3" width="12.33203125" bestFit="1" customWidth="1"/>
    <col min="4" max="4" width="10.6640625" bestFit="1" customWidth="1"/>
    <col min="5" max="5" width="12.5546875" bestFit="1" customWidth="1"/>
    <col min="6" max="6" width="22.33203125" bestFit="1" customWidth="1"/>
    <col min="7" max="7" width="13.88671875" bestFit="1" customWidth="1"/>
    <col min="8" max="8" width="13.88671875" customWidth="1"/>
    <col min="9" max="9" width="19.21875" customWidth="1"/>
    <col min="10" max="10" width="17.21875" customWidth="1"/>
    <col min="11" max="11" width="14.88671875" customWidth="1"/>
    <col min="12" max="12" width="13.88671875" customWidth="1"/>
    <col min="13" max="13" width="15.21875" bestFit="1" customWidth="1"/>
    <col min="14" max="14" width="15.44140625" bestFit="1" customWidth="1"/>
    <col min="15" max="15" width="12.33203125" bestFit="1" customWidth="1"/>
    <col min="16" max="16" width="7.5546875" bestFit="1" customWidth="1"/>
    <col min="17" max="17" width="12.5546875" bestFit="1" customWidth="1"/>
    <col min="18" max="18" width="22.33203125" bestFit="1" customWidth="1"/>
    <col min="19" max="19" width="13.88671875" bestFit="1" customWidth="1"/>
  </cols>
  <sheetData>
    <row r="1" spans="1:19" x14ac:dyDescent="0.3">
      <c r="A1" s="3" t="s">
        <v>429</v>
      </c>
      <c r="M1" s="3" t="s">
        <v>430</v>
      </c>
    </row>
    <row r="2" spans="1:1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/>
      <c r="I2" s="1"/>
      <c r="J2" s="1"/>
      <c r="K2" s="1"/>
      <c r="L2" s="1"/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  <c r="S2" s="1" t="s">
        <v>6</v>
      </c>
    </row>
    <row r="3" spans="1:19" x14ac:dyDescent="0.3">
      <c r="A3" t="s">
        <v>7</v>
      </c>
      <c r="B3">
        <v>1000000001</v>
      </c>
      <c r="C3">
        <v>50000</v>
      </c>
      <c r="D3" t="s">
        <v>17</v>
      </c>
      <c r="E3" t="s">
        <v>27</v>
      </c>
      <c r="F3" t="s">
        <v>29</v>
      </c>
      <c r="G3" t="s">
        <v>229</v>
      </c>
      <c r="M3" t="s">
        <v>8</v>
      </c>
      <c r="N3">
        <v>1000000002</v>
      </c>
      <c r="O3">
        <v>75000</v>
      </c>
      <c r="P3" t="s">
        <v>18</v>
      </c>
      <c r="Q3" t="s">
        <v>28</v>
      </c>
      <c r="R3" t="s">
        <v>30</v>
      </c>
      <c r="S3" t="s">
        <v>230</v>
      </c>
    </row>
    <row r="4" spans="1:19" x14ac:dyDescent="0.3">
      <c r="A4" t="s">
        <v>9</v>
      </c>
      <c r="B4">
        <v>1000000003</v>
      </c>
      <c r="C4">
        <v>120000</v>
      </c>
      <c r="D4" t="s">
        <v>19</v>
      </c>
      <c r="E4" t="s">
        <v>27</v>
      </c>
      <c r="F4" t="s">
        <v>31</v>
      </c>
      <c r="G4" t="s">
        <v>231</v>
      </c>
      <c r="I4" s="2" t="s">
        <v>1</v>
      </c>
      <c r="J4">
        <v>1000000024</v>
      </c>
      <c r="M4" t="s">
        <v>10</v>
      </c>
      <c r="N4">
        <v>1000000004</v>
      </c>
      <c r="O4">
        <v>45000</v>
      </c>
      <c r="P4" t="s">
        <v>20</v>
      </c>
      <c r="Q4" t="s">
        <v>28</v>
      </c>
      <c r="R4" t="s">
        <v>32</v>
      </c>
      <c r="S4" t="s">
        <v>232</v>
      </c>
    </row>
    <row r="5" spans="1:19" x14ac:dyDescent="0.3">
      <c r="A5" t="s">
        <v>11</v>
      </c>
      <c r="B5">
        <v>1000000005</v>
      </c>
      <c r="C5">
        <v>98000</v>
      </c>
      <c r="D5" t="s">
        <v>21</v>
      </c>
      <c r="E5" t="s">
        <v>27</v>
      </c>
      <c r="F5" t="s">
        <v>33</v>
      </c>
      <c r="G5" t="s">
        <v>233</v>
      </c>
      <c r="I5" s="2" t="s">
        <v>0</v>
      </c>
      <c r="J5" t="str">
        <f>_xlfn.XLOOKUP($J$4,$B$2:$B$102,$A$2:$A$102,_xlfn.XLOOKUP($J$4,$N$2:$N$102,$M$2:$M$102))</f>
        <v>Diya Gupta</v>
      </c>
      <c r="M5" t="s">
        <v>12</v>
      </c>
      <c r="N5">
        <v>1000000006</v>
      </c>
      <c r="O5">
        <v>67000</v>
      </c>
      <c r="P5" t="s">
        <v>22</v>
      </c>
      <c r="Q5" t="s">
        <v>28</v>
      </c>
      <c r="R5" t="s">
        <v>34</v>
      </c>
      <c r="S5" t="s">
        <v>234</v>
      </c>
    </row>
    <row r="6" spans="1:19" x14ac:dyDescent="0.3">
      <c r="A6" t="s">
        <v>13</v>
      </c>
      <c r="B6">
        <v>1000000007</v>
      </c>
      <c r="C6">
        <v>56000</v>
      </c>
      <c r="D6" t="s">
        <v>23</v>
      </c>
      <c r="E6" t="s">
        <v>27</v>
      </c>
      <c r="F6" t="s">
        <v>35</v>
      </c>
      <c r="G6" t="s">
        <v>235</v>
      </c>
      <c r="I6" s="2"/>
      <c r="M6" t="s">
        <v>14</v>
      </c>
      <c r="N6">
        <v>1000000008</v>
      </c>
      <c r="O6">
        <v>89000</v>
      </c>
      <c r="P6" t="s">
        <v>24</v>
      </c>
      <c r="Q6" t="s">
        <v>28</v>
      </c>
      <c r="R6" t="s">
        <v>36</v>
      </c>
      <c r="S6" t="s">
        <v>236</v>
      </c>
    </row>
    <row r="7" spans="1:19" x14ac:dyDescent="0.3">
      <c r="A7" t="s">
        <v>15</v>
      </c>
      <c r="B7">
        <v>1000000009</v>
      </c>
      <c r="C7">
        <v>46000</v>
      </c>
      <c r="D7" t="s">
        <v>25</v>
      </c>
      <c r="E7" t="s">
        <v>27</v>
      </c>
      <c r="F7" t="s">
        <v>37</v>
      </c>
      <c r="G7" t="s">
        <v>237</v>
      </c>
      <c r="I7" s="2"/>
      <c r="J7" t="str">
        <f>_xlfn.XLOOKUP($J$4,B:B,A:A,"Not Found")</f>
        <v>Not Found</v>
      </c>
      <c r="M7" t="s">
        <v>16</v>
      </c>
      <c r="N7">
        <v>1000000010</v>
      </c>
      <c r="O7">
        <v>77000</v>
      </c>
      <c r="P7" t="s">
        <v>26</v>
      </c>
      <c r="Q7" t="s">
        <v>28</v>
      </c>
      <c r="R7" t="s">
        <v>38</v>
      </c>
      <c r="S7" t="s">
        <v>238</v>
      </c>
    </row>
    <row r="8" spans="1:19" x14ac:dyDescent="0.3">
      <c r="A8" t="s">
        <v>7</v>
      </c>
      <c r="B8">
        <v>1000000011</v>
      </c>
      <c r="C8">
        <v>50000</v>
      </c>
      <c r="D8" t="s">
        <v>17</v>
      </c>
      <c r="E8" t="s">
        <v>27</v>
      </c>
      <c r="F8" t="s">
        <v>39</v>
      </c>
      <c r="G8" t="s">
        <v>239</v>
      </c>
      <c r="I8" s="2"/>
      <c r="M8" t="s">
        <v>8</v>
      </c>
      <c r="N8">
        <v>1000000012</v>
      </c>
      <c r="O8">
        <v>75000</v>
      </c>
      <c r="P8" t="s">
        <v>18</v>
      </c>
      <c r="Q8" t="s">
        <v>28</v>
      </c>
      <c r="R8" t="s">
        <v>40</v>
      </c>
      <c r="S8" t="s">
        <v>240</v>
      </c>
    </row>
    <row r="9" spans="1:19" x14ac:dyDescent="0.3">
      <c r="A9" t="s">
        <v>9</v>
      </c>
      <c r="B9">
        <v>1000000013</v>
      </c>
      <c r="C9">
        <v>120000</v>
      </c>
      <c r="D9" t="s">
        <v>19</v>
      </c>
      <c r="E9" t="s">
        <v>27</v>
      </c>
      <c r="F9" t="s">
        <v>41</v>
      </c>
      <c r="G9" t="s">
        <v>241</v>
      </c>
      <c r="I9" s="2"/>
      <c r="M9" t="s">
        <v>10</v>
      </c>
      <c r="N9">
        <v>1000000014</v>
      </c>
      <c r="O9">
        <v>45000</v>
      </c>
      <c r="P9" t="s">
        <v>20</v>
      </c>
      <c r="Q9" t="s">
        <v>28</v>
      </c>
      <c r="R9" t="s">
        <v>42</v>
      </c>
      <c r="S9" t="s">
        <v>242</v>
      </c>
    </row>
    <row r="10" spans="1:19" x14ac:dyDescent="0.3">
      <c r="A10" t="s">
        <v>11</v>
      </c>
      <c r="B10">
        <v>1000000015</v>
      </c>
      <c r="C10">
        <v>98000</v>
      </c>
      <c r="D10" t="s">
        <v>21</v>
      </c>
      <c r="E10" t="s">
        <v>27</v>
      </c>
      <c r="F10" t="s">
        <v>43</v>
      </c>
      <c r="G10" t="s">
        <v>243</v>
      </c>
      <c r="I10" s="2"/>
      <c r="M10" t="s">
        <v>12</v>
      </c>
      <c r="N10">
        <v>1000000016</v>
      </c>
      <c r="O10">
        <v>67000</v>
      </c>
      <c r="P10" t="s">
        <v>22</v>
      </c>
      <c r="Q10" t="s">
        <v>28</v>
      </c>
      <c r="R10" t="s">
        <v>44</v>
      </c>
      <c r="S10" t="s">
        <v>244</v>
      </c>
    </row>
    <row r="11" spans="1:19" x14ac:dyDescent="0.3">
      <c r="A11" t="s">
        <v>13</v>
      </c>
      <c r="B11">
        <v>1000000017</v>
      </c>
      <c r="C11">
        <v>56000</v>
      </c>
      <c r="D11" t="s">
        <v>23</v>
      </c>
      <c r="E11" t="s">
        <v>27</v>
      </c>
      <c r="F11" t="s">
        <v>45</v>
      </c>
      <c r="G11" t="s">
        <v>245</v>
      </c>
      <c r="M11" t="s">
        <v>14</v>
      </c>
      <c r="N11">
        <v>1000000018</v>
      </c>
      <c r="O11">
        <v>89000</v>
      </c>
      <c r="P11" t="s">
        <v>24</v>
      </c>
      <c r="Q11" t="s">
        <v>28</v>
      </c>
      <c r="R11" t="s">
        <v>46</v>
      </c>
      <c r="S11" t="s">
        <v>246</v>
      </c>
    </row>
    <row r="12" spans="1:19" x14ac:dyDescent="0.3">
      <c r="A12" t="s">
        <v>15</v>
      </c>
      <c r="B12">
        <v>1000000019</v>
      </c>
      <c r="C12">
        <v>46000</v>
      </c>
      <c r="D12" t="s">
        <v>25</v>
      </c>
      <c r="E12" t="s">
        <v>27</v>
      </c>
      <c r="F12" t="s">
        <v>47</v>
      </c>
      <c r="G12" t="s">
        <v>247</v>
      </c>
      <c r="M12" t="s">
        <v>16</v>
      </c>
      <c r="N12">
        <v>1000000020</v>
      </c>
      <c r="O12">
        <v>77000</v>
      </c>
      <c r="P12" t="s">
        <v>26</v>
      </c>
      <c r="Q12" t="s">
        <v>28</v>
      </c>
      <c r="R12" t="s">
        <v>48</v>
      </c>
      <c r="S12" t="s">
        <v>248</v>
      </c>
    </row>
    <row r="13" spans="1:19" x14ac:dyDescent="0.3">
      <c r="A13" t="s">
        <v>7</v>
      </c>
      <c r="B13">
        <v>1000000021</v>
      </c>
      <c r="C13">
        <v>50000</v>
      </c>
      <c r="D13" t="s">
        <v>17</v>
      </c>
      <c r="E13" t="s">
        <v>27</v>
      </c>
      <c r="F13" t="s">
        <v>49</v>
      </c>
      <c r="G13" t="s">
        <v>249</v>
      </c>
      <c r="M13" t="s">
        <v>8</v>
      </c>
      <c r="N13">
        <v>1000000022</v>
      </c>
      <c r="O13">
        <v>75000</v>
      </c>
      <c r="P13" t="s">
        <v>18</v>
      </c>
      <c r="Q13" t="s">
        <v>28</v>
      </c>
      <c r="R13" t="s">
        <v>50</v>
      </c>
      <c r="S13" t="s">
        <v>250</v>
      </c>
    </row>
    <row r="14" spans="1:19" x14ac:dyDescent="0.3">
      <c r="A14" t="s">
        <v>9</v>
      </c>
      <c r="B14">
        <v>1000000023</v>
      </c>
      <c r="C14">
        <v>120000</v>
      </c>
      <c r="D14" t="s">
        <v>19</v>
      </c>
      <c r="E14" t="s">
        <v>27</v>
      </c>
      <c r="F14" t="s">
        <v>51</v>
      </c>
      <c r="G14" t="s">
        <v>251</v>
      </c>
      <c r="M14" t="s">
        <v>10</v>
      </c>
      <c r="N14">
        <v>1000000024</v>
      </c>
      <c r="O14">
        <v>45000</v>
      </c>
      <c r="P14" t="s">
        <v>20</v>
      </c>
      <c r="Q14" t="s">
        <v>28</v>
      </c>
      <c r="R14" t="s">
        <v>52</v>
      </c>
      <c r="S14" t="s">
        <v>252</v>
      </c>
    </row>
    <row r="15" spans="1:19" x14ac:dyDescent="0.3">
      <c r="A15" t="s">
        <v>11</v>
      </c>
      <c r="B15">
        <v>1000000025</v>
      </c>
      <c r="C15">
        <v>98000</v>
      </c>
      <c r="D15" t="s">
        <v>21</v>
      </c>
      <c r="E15" t="s">
        <v>27</v>
      </c>
      <c r="F15" t="s">
        <v>53</v>
      </c>
      <c r="G15" t="s">
        <v>253</v>
      </c>
      <c r="M15" t="s">
        <v>12</v>
      </c>
      <c r="N15">
        <v>1000000026</v>
      </c>
      <c r="O15">
        <v>67000</v>
      </c>
      <c r="P15" t="s">
        <v>22</v>
      </c>
      <c r="Q15" t="s">
        <v>28</v>
      </c>
      <c r="R15" t="s">
        <v>54</v>
      </c>
      <c r="S15" t="s">
        <v>254</v>
      </c>
    </row>
    <row r="16" spans="1:19" x14ac:dyDescent="0.3">
      <c r="A16" t="s">
        <v>13</v>
      </c>
      <c r="B16">
        <v>1000000027</v>
      </c>
      <c r="C16">
        <v>56000</v>
      </c>
      <c r="D16" t="s">
        <v>23</v>
      </c>
      <c r="E16" t="s">
        <v>27</v>
      </c>
      <c r="F16" t="s">
        <v>55</v>
      </c>
      <c r="G16" t="s">
        <v>255</v>
      </c>
      <c r="M16" t="s">
        <v>14</v>
      </c>
      <c r="N16">
        <v>1000000028</v>
      </c>
      <c r="O16">
        <v>89000</v>
      </c>
      <c r="P16" t="s">
        <v>24</v>
      </c>
      <c r="Q16" t="s">
        <v>28</v>
      </c>
      <c r="R16" t="s">
        <v>56</v>
      </c>
      <c r="S16" t="s">
        <v>256</v>
      </c>
    </row>
    <row r="17" spans="1:19" x14ac:dyDescent="0.3">
      <c r="A17" t="s">
        <v>15</v>
      </c>
      <c r="B17">
        <v>1000000029</v>
      </c>
      <c r="C17">
        <v>46000</v>
      </c>
      <c r="D17" t="s">
        <v>25</v>
      </c>
      <c r="E17" t="s">
        <v>27</v>
      </c>
      <c r="F17" t="s">
        <v>57</v>
      </c>
      <c r="G17" t="s">
        <v>257</v>
      </c>
      <c r="M17" t="s">
        <v>16</v>
      </c>
      <c r="N17">
        <v>1000000030</v>
      </c>
      <c r="O17">
        <v>77000</v>
      </c>
      <c r="P17" t="s">
        <v>26</v>
      </c>
      <c r="Q17" t="s">
        <v>28</v>
      </c>
      <c r="R17" t="s">
        <v>58</v>
      </c>
      <c r="S17" t="s">
        <v>258</v>
      </c>
    </row>
    <row r="18" spans="1:19" x14ac:dyDescent="0.3">
      <c r="A18" t="s">
        <v>7</v>
      </c>
      <c r="B18">
        <v>1000000031</v>
      </c>
      <c r="C18">
        <v>50000</v>
      </c>
      <c r="D18" t="s">
        <v>17</v>
      </c>
      <c r="E18" t="s">
        <v>27</v>
      </c>
      <c r="F18" t="s">
        <v>59</v>
      </c>
      <c r="G18" t="s">
        <v>259</v>
      </c>
      <c r="M18" t="s">
        <v>8</v>
      </c>
      <c r="N18">
        <v>1000000032</v>
      </c>
      <c r="O18">
        <v>75000</v>
      </c>
      <c r="P18" t="s">
        <v>18</v>
      </c>
      <c r="Q18" t="s">
        <v>28</v>
      </c>
      <c r="R18" t="s">
        <v>60</v>
      </c>
      <c r="S18" t="s">
        <v>260</v>
      </c>
    </row>
    <row r="19" spans="1:19" x14ac:dyDescent="0.3">
      <c r="A19" t="s">
        <v>9</v>
      </c>
      <c r="B19">
        <v>1000000033</v>
      </c>
      <c r="C19">
        <v>120000</v>
      </c>
      <c r="D19" t="s">
        <v>19</v>
      </c>
      <c r="E19" t="s">
        <v>27</v>
      </c>
      <c r="F19" t="s">
        <v>61</v>
      </c>
      <c r="G19" t="s">
        <v>261</v>
      </c>
      <c r="M19" t="s">
        <v>10</v>
      </c>
      <c r="N19">
        <v>1000000034</v>
      </c>
      <c r="O19">
        <v>45000</v>
      </c>
      <c r="P19" t="s">
        <v>20</v>
      </c>
      <c r="Q19" t="s">
        <v>28</v>
      </c>
      <c r="R19" t="s">
        <v>62</v>
      </c>
      <c r="S19" t="s">
        <v>262</v>
      </c>
    </row>
    <row r="20" spans="1:19" x14ac:dyDescent="0.3">
      <c r="A20" t="s">
        <v>11</v>
      </c>
      <c r="B20">
        <v>1000000035</v>
      </c>
      <c r="C20">
        <v>98000</v>
      </c>
      <c r="D20" t="s">
        <v>21</v>
      </c>
      <c r="E20" t="s">
        <v>27</v>
      </c>
      <c r="F20" t="s">
        <v>63</v>
      </c>
      <c r="G20" t="s">
        <v>263</v>
      </c>
      <c r="M20" t="s">
        <v>12</v>
      </c>
      <c r="N20">
        <v>1000000036</v>
      </c>
      <c r="O20">
        <v>67000</v>
      </c>
      <c r="P20" t="s">
        <v>22</v>
      </c>
      <c r="Q20" t="s">
        <v>28</v>
      </c>
      <c r="R20" t="s">
        <v>64</v>
      </c>
      <c r="S20" t="s">
        <v>264</v>
      </c>
    </row>
    <row r="21" spans="1:19" x14ac:dyDescent="0.3">
      <c r="A21" t="s">
        <v>13</v>
      </c>
      <c r="B21">
        <v>1000000037</v>
      </c>
      <c r="C21">
        <v>56000</v>
      </c>
      <c r="D21" t="s">
        <v>23</v>
      </c>
      <c r="E21" t="s">
        <v>27</v>
      </c>
      <c r="F21" t="s">
        <v>65</v>
      </c>
      <c r="G21" t="s">
        <v>265</v>
      </c>
      <c r="M21" t="s">
        <v>14</v>
      </c>
      <c r="N21">
        <v>1000000038</v>
      </c>
      <c r="O21">
        <v>89000</v>
      </c>
      <c r="P21" t="s">
        <v>24</v>
      </c>
      <c r="Q21" t="s">
        <v>28</v>
      </c>
      <c r="R21" t="s">
        <v>66</v>
      </c>
      <c r="S21" t="s">
        <v>266</v>
      </c>
    </row>
    <row r="22" spans="1:19" x14ac:dyDescent="0.3">
      <c r="A22" t="s">
        <v>15</v>
      </c>
      <c r="B22">
        <v>1000000039</v>
      </c>
      <c r="C22">
        <v>46000</v>
      </c>
      <c r="D22" t="s">
        <v>25</v>
      </c>
      <c r="E22" t="s">
        <v>27</v>
      </c>
      <c r="F22" t="s">
        <v>67</v>
      </c>
      <c r="G22" t="s">
        <v>267</v>
      </c>
      <c r="M22" t="s">
        <v>16</v>
      </c>
      <c r="N22">
        <v>1000000040</v>
      </c>
      <c r="O22">
        <v>77000</v>
      </c>
      <c r="P22" t="s">
        <v>26</v>
      </c>
      <c r="Q22" t="s">
        <v>28</v>
      </c>
      <c r="R22" t="s">
        <v>68</v>
      </c>
      <c r="S22" t="s">
        <v>268</v>
      </c>
    </row>
    <row r="23" spans="1:19" x14ac:dyDescent="0.3">
      <c r="A23" t="s">
        <v>7</v>
      </c>
      <c r="B23">
        <v>1000000041</v>
      </c>
      <c r="C23">
        <v>50000</v>
      </c>
      <c r="D23" t="s">
        <v>17</v>
      </c>
      <c r="E23" t="s">
        <v>27</v>
      </c>
      <c r="F23" t="s">
        <v>69</v>
      </c>
      <c r="G23" t="s">
        <v>269</v>
      </c>
      <c r="M23" t="s">
        <v>8</v>
      </c>
      <c r="N23">
        <v>1000000042</v>
      </c>
      <c r="O23">
        <v>75000</v>
      </c>
      <c r="P23" t="s">
        <v>18</v>
      </c>
      <c r="Q23" t="s">
        <v>28</v>
      </c>
      <c r="R23" t="s">
        <v>70</v>
      </c>
      <c r="S23" t="s">
        <v>270</v>
      </c>
    </row>
    <row r="24" spans="1:19" x14ac:dyDescent="0.3">
      <c r="A24" t="s">
        <v>9</v>
      </c>
      <c r="B24">
        <v>1000000043</v>
      </c>
      <c r="C24">
        <v>120000</v>
      </c>
      <c r="D24" t="s">
        <v>19</v>
      </c>
      <c r="E24" t="s">
        <v>27</v>
      </c>
      <c r="F24" t="s">
        <v>71</v>
      </c>
      <c r="G24" t="s">
        <v>271</v>
      </c>
      <c r="M24" t="s">
        <v>10</v>
      </c>
      <c r="N24">
        <v>1000000044</v>
      </c>
      <c r="O24">
        <v>45000</v>
      </c>
      <c r="P24" t="s">
        <v>20</v>
      </c>
      <c r="Q24" t="s">
        <v>28</v>
      </c>
      <c r="R24" t="s">
        <v>72</v>
      </c>
      <c r="S24" t="s">
        <v>272</v>
      </c>
    </row>
    <row r="25" spans="1:19" x14ac:dyDescent="0.3">
      <c r="A25" t="s">
        <v>11</v>
      </c>
      <c r="B25">
        <v>1000000045</v>
      </c>
      <c r="C25">
        <v>98000</v>
      </c>
      <c r="D25" t="s">
        <v>21</v>
      </c>
      <c r="E25" t="s">
        <v>27</v>
      </c>
      <c r="F25" t="s">
        <v>73</v>
      </c>
      <c r="G25" t="s">
        <v>273</v>
      </c>
      <c r="M25" t="s">
        <v>12</v>
      </c>
      <c r="N25">
        <v>1000000046</v>
      </c>
      <c r="O25">
        <v>67000</v>
      </c>
      <c r="P25" t="s">
        <v>22</v>
      </c>
      <c r="Q25" t="s">
        <v>28</v>
      </c>
      <c r="R25" t="s">
        <v>74</v>
      </c>
      <c r="S25" t="s">
        <v>274</v>
      </c>
    </row>
    <row r="26" spans="1:19" x14ac:dyDescent="0.3">
      <c r="A26" t="s">
        <v>13</v>
      </c>
      <c r="B26">
        <v>1000000047</v>
      </c>
      <c r="C26">
        <v>56000</v>
      </c>
      <c r="D26" t="s">
        <v>23</v>
      </c>
      <c r="E26" t="s">
        <v>27</v>
      </c>
      <c r="F26" t="s">
        <v>75</v>
      </c>
      <c r="G26" t="s">
        <v>275</v>
      </c>
      <c r="M26" t="s">
        <v>14</v>
      </c>
      <c r="N26">
        <v>1000000048</v>
      </c>
      <c r="O26">
        <v>89000</v>
      </c>
      <c r="P26" t="s">
        <v>24</v>
      </c>
      <c r="Q26" t="s">
        <v>28</v>
      </c>
      <c r="R26" t="s">
        <v>76</v>
      </c>
      <c r="S26" t="s">
        <v>276</v>
      </c>
    </row>
    <row r="27" spans="1:19" x14ac:dyDescent="0.3">
      <c r="A27" t="s">
        <v>15</v>
      </c>
      <c r="B27">
        <v>1000000049</v>
      </c>
      <c r="C27">
        <v>46000</v>
      </c>
      <c r="D27" t="s">
        <v>25</v>
      </c>
      <c r="E27" t="s">
        <v>27</v>
      </c>
      <c r="F27" t="s">
        <v>77</v>
      </c>
      <c r="G27" t="s">
        <v>277</v>
      </c>
      <c r="M27" t="s">
        <v>16</v>
      </c>
      <c r="N27">
        <v>1000000050</v>
      </c>
      <c r="O27">
        <v>77000</v>
      </c>
      <c r="P27" t="s">
        <v>26</v>
      </c>
      <c r="Q27" t="s">
        <v>28</v>
      </c>
      <c r="R27" t="s">
        <v>78</v>
      </c>
      <c r="S27" t="s">
        <v>278</v>
      </c>
    </row>
    <row r="28" spans="1:19" x14ac:dyDescent="0.3">
      <c r="A28" t="s">
        <v>7</v>
      </c>
      <c r="B28">
        <v>1000000051</v>
      </c>
      <c r="C28">
        <v>50000</v>
      </c>
      <c r="D28" t="s">
        <v>17</v>
      </c>
      <c r="E28" t="s">
        <v>27</v>
      </c>
      <c r="F28" t="s">
        <v>79</v>
      </c>
      <c r="G28" t="s">
        <v>279</v>
      </c>
      <c r="M28" t="s">
        <v>8</v>
      </c>
      <c r="N28">
        <v>1000000052</v>
      </c>
      <c r="O28">
        <v>75000</v>
      </c>
      <c r="P28" t="s">
        <v>18</v>
      </c>
      <c r="Q28" t="s">
        <v>28</v>
      </c>
      <c r="R28" t="s">
        <v>80</v>
      </c>
      <c r="S28" t="s">
        <v>280</v>
      </c>
    </row>
    <row r="29" spans="1:19" x14ac:dyDescent="0.3">
      <c r="A29" t="s">
        <v>9</v>
      </c>
      <c r="B29">
        <v>1000000053</v>
      </c>
      <c r="C29">
        <v>120000</v>
      </c>
      <c r="D29" t="s">
        <v>19</v>
      </c>
      <c r="E29" t="s">
        <v>27</v>
      </c>
      <c r="F29" t="s">
        <v>81</v>
      </c>
      <c r="G29" t="s">
        <v>281</v>
      </c>
      <c r="M29" t="s">
        <v>10</v>
      </c>
      <c r="N29">
        <v>1000000054</v>
      </c>
      <c r="O29">
        <v>45000</v>
      </c>
      <c r="P29" t="s">
        <v>20</v>
      </c>
      <c r="Q29" t="s">
        <v>28</v>
      </c>
      <c r="R29" t="s">
        <v>82</v>
      </c>
      <c r="S29" t="s">
        <v>282</v>
      </c>
    </row>
    <row r="30" spans="1:19" x14ac:dyDescent="0.3">
      <c r="A30" t="s">
        <v>11</v>
      </c>
      <c r="B30">
        <v>1000000055</v>
      </c>
      <c r="C30">
        <v>98000</v>
      </c>
      <c r="D30" t="s">
        <v>21</v>
      </c>
      <c r="E30" t="s">
        <v>27</v>
      </c>
      <c r="F30" t="s">
        <v>83</v>
      </c>
      <c r="G30" t="s">
        <v>283</v>
      </c>
      <c r="M30" t="s">
        <v>12</v>
      </c>
      <c r="N30">
        <v>1000000056</v>
      </c>
      <c r="O30">
        <v>67000</v>
      </c>
      <c r="P30" t="s">
        <v>22</v>
      </c>
      <c r="Q30" t="s">
        <v>28</v>
      </c>
      <c r="R30" t="s">
        <v>84</v>
      </c>
      <c r="S30" t="s">
        <v>284</v>
      </c>
    </row>
    <row r="31" spans="1:19" x14ac:dyDescent="0.3">
      <c r="A31" t="s">
        <v>13</v>
      </c>
      <c r="B31">
        <v>1000000057</v>
      </c>
      <c r="C31">
        <v>56000</v>
      </c>
      <c r="D31" t="s">
        <v>23</v>
      </c>
      <c r="E31" t="s">
        <v>27</v>
      </c>
      <c r="F31" t="s">
        <v>85</v>
      </c>
      <c r="G31" t="s">
        <v>285</v>
      </c>
      <c r="M31" t="s">
        <v>14</v>
      </c>
      <c r="N31">
        <v>1000000058</v>
      </c>
      <c r="O31">
        <v>89000</v>
      </c>
      <c r="P31" t="s">
        <v>24</v>
      </c>
      <c r="Q31" t="s">
        <v>28</v>
      </c>
      <c r="R31" t="s">
        <v>86</v>
      </c>
      <c r="S31" t="s">
        <v>286</v>
      </c>
    </row>
    <row r="32" spans="1:19" x14ac:dyDescent="0.3">
      <c r="A32" t="s">
        <v>15</v>
      </c>
      <c r="B32">
        <v>1000000059</v>
      </c>
      <c r="C32">
        <v>46000</v>
      </c>
      <c r="D32" t="s">
        <v>25</v>
      </c>
      <c r="E32" t="s">
        <v>27</v>
      </c>
      <c r="F32" t="s">
        <v>87</v>
      </c>
      <c r="G32" t="s">
        <v>287</v>
      </c>
      <c r="M32" t="s">
        <v>16</v>
      </c>
      <c r="N32">
        <v>1000000060</v>
      </c>
      <c r="O32">
        <v>77000</v>
      </c>
      <c r="P32" t="s">
        <v>26</v>
      </c>
      <c r="Q32" t="s">
        <v>28</v>
      </c>
      <c r="R32" t="s">
        <v>88</v>
      </c>
      <c r="S32" t="s">
        <v>288</v>
      </c>
    </row>
    <row r="33" spans="1:19" x14ac:dyDescent="0.3">
      <c r="A33" t="s">
        <v>7</v>
      </c>
      <c r="B33">
        <v>1000000061</v>
      </c>
      <c r="C33">
        <v>50000</v>
      </c>
      <c r="D33" t="s">
        <v>17</v>
      </c>
      <c r="E33" t="s">
        <v>27</v>
      </c>
      <c r="F33" t="s">
        <v>89</v>
      </c>
      <c r="G33" t="s">
        <v>289</v>
      </c>
      <c r="M33" t="s">
        <v>8</v>
      </c>
      <c r="N33">
        <v>1000000062</v>
      </c>
      <c r="O33">
        <v>75000</v>
      </c>
      <c r="P33" t="s">
        <v>18</v>
      </c>
      <c r="Q33" t="s">
        <v>28</v>
      </c>
      <c r="R33" t="s">
        <v>90</v>
      </c>
      <c r="S33" t="s">
        <v>290</v>
      </c>
    </row>
    <row r="34" spans="1:19" x14ac:dyDescent="0.3">
      <c r="A34" t="s">
        <v>9</v>
      </c>
      <c r="B34">
        <v>1000000063</v>
      </c>
      <c r="C34">
        <v>120000</v>
      </c>
      <c r="D34" t="s">
        <v>19</v>
      </c>
      <c r="E34" t="s">
        <v>27</v>
      </c>
      <c r="F34" t="s">
        <v>91</v>
      </c>
      <c r="G34" t="s">
        <v>291</v>
      </c>
      <c r="M34" t="s">
        <v>10</v>
      </c>
      <c r="N34">
        <v>1000000064</v>
      </c>
      <c r="O34">
        <v>45000</v>
      </c>
      <c r="P34" t="s">
        <v>20</v>
      </c>
      <c r="Q34" t="s">
        <v>28</v>
      </c>
      <c r="R34" t="s">
        <v>92</v>
      </c>
      <c r="S34" t="s">
        <v>292</v>
      </c>
    </row>
    <row r="35" spans="1:19" x14ac:dyDescent="0.3">
      <c r="A35" t="s">
        <v>11</v>
      </c>
      <c r="B35">
        <v>1000000065</v>
      </c>
      <c r="C35">
        <v>98000</v>
      </c>
      <c r="D35" t="s">
        <v>21</v>
      </c>
      <c r="E35" t="s">
        <v>27</v>
      </c>
      <c r="F35" t="s">
        <v>93</v>
      </c>
      <c r="G35" t="s">
        <v>293</v>
      </c>
      <c r="M35" t="s">
        <v>12</v>
      </c>
      <c r="N35">
        <v>1000000066</v>
      </c>
      <c r="O35">
        <v>67000</v>
      </c>
      <c r="P35" t="s">
        <v>22</v>
      </c>
      <c r="Q35" t="s">
        <v>28</v>
      </c>
      <c r="R35" t="s">
        <v>94</v>
      </c>
      <c r="S35" t="s">
        <v>294</v>
      </c>
    </row>
    <row r="36" spans="1:19" x14ac:dyDescent="0.3">
      <c r="A36" t="s">
        <v>13</v>
      </c>
      <c r="B36">
        <v>1000000067</v>
      </c>
      <c r="C36">
        <v>56000</v>
      </c>
      <c r="D36" t="s">
        <v>23</v>
      </c>
      <c r="E36" t="s">
        <v>27</v>
      </c>
      <c r="F36" t="s">
        <v>95</v>
      </c>
      <c r="G36" t="s">
        <v>295</v>
      </c>
      <c r="M36" t="s">
        <v>14</v>
      </c>
      <c r="N36">
        <v>1000000068</v>
      </c>
      <c r="O36">
        <v>89000</v>
      </c>
      <c r="P36" t="s">
        <v>24</v>
      </c>
      <c r="Q36" t="s">
        <v>28</v>
      </c>
      <c r="R36" t="s">
        <v>96</v>
      </c>
      <c r="S36" t="s">
        <v>296</v>
      </c>
    </row>
    <row r="37" spans="1:19" x14ac:dyDescent="0.3">
      <c r="A37" t="s">
        <v>15</v>
      </c>
      <c r="B37">
        <v>1000000069</v>
      </c>
      <c r="C37">
        <v>46000</v>
      </c>
      <c r="D37" t="s">
        <v>25</v>
      </c>
      <c r="E37" t="s">
        <v>27</v>
      </c>
      <c r="F37" t="s">
        <v>97</v>
      </c>
      <c r="G37" t="s">
        <v>297</v>
      </c>
      <c r="M37" t="s">
        <v>16</v>
      </c>
      <c r="N37">
        <v>1000000070</v>
      </c>
      <c r="O37">
        <v>77000</v>
      </c>
      <c r="P37" t="s">
        <v>26</v>
      </c>
      <c r="Q37" t="s">
        <v>28</v>
      </c>
      <c r="R37" t="s">
        <v>98</v>
      </c>
      <c r="S37" t="s">
        <v>298</v>
      </c>
    </row>
    <row r="38" spans="1:19" x14ac:dyDescent="0.3">
      <c r="A38" t="s">
        <v>7</v>
      </c>
      <c r="B38">
        <v>1000000071</v>
      </c>
      <c r="C38">
        <v>50000</v>
      </c>
      <c r="D38" t="s">
        <v>17</v>
      </c>
      <c r="E38" t="s">
        <v>27</v>
      </c>
      <c r="F38" t="s">
        <v>99</v>
      </c>
      <c r="G38" t="s">
        <v>299</v>
      </c>
      <c r="M38" t="s">
        <v>8</v>
      </c>
      <c r="N38">
        <v>1000000072</v>
      </c>
      <c r="O38">
        <v>75000</v>
      </c>
      <c r="P38" t="s">
        <v>18</v>
      </c>
      <c r="Q38" t="s">
        <v>28</v>
      </c>
      <c r="R38" t="s">
        <v>100</v>
      </c>
      <c r="S38" t="s">
        <v>300</v>
      </c>
    </row>
    <row r="39" spans="1:19" x14ac:dyDescent="0.3">
      <c r="A39" t="s">
        <v>9</v>
      </c>
      <c r="B39">
        <v>1000000073</v>
      </c>
      <c r="C39">
        <v>120000</v>
      </c>
      <c r="D39" t="s">
        <v>19</v>
      </c>
      <c r="E39" t="s">
        <v>27</v>
      </c>
      <c r="F39" t="s">
        <v>101</v>
      </c>
      <c r="G39" t="s">
        <v>301</v>
      </c>
      <c r="M39" t="s">
        <v>10</v>
      </c>
      <c r="N39">
        <v>1000000074</v>
      </c>
      <c r="O39">
        <v>45000</v>
      </c>
      <c r="P39" t="s">
        <v>20</v>
      </c>
      <c r="Q39" t="s">
        <v>28</v>
      </c>
      <c r="R39" t="s">
        <v>102</v>
      </c>
      <c r="S39" t="s">
        <v>302</v>
      </c>
    </row>
    <row r="40" spans="1:19" x14ac:dyDescent="0.3">
      <c r="A40" t="s">
        <v>11</v>
      </c>
      <c r="B40">
        <v>1000000075</v>
      </c>
      <c r="C40">
        <v>98000</v>
      </c>
      <c r="D40" t="s">
        <v>21</v>
      </c>
      <c r="E40" t="s">
        <v>27</v>
      </c>
      <c r="F40" t="s">
        <v>103</v>
      </c>
      <c r="G40" t="s">
        <v>303</v>
      </c>
      <c r="M40" t="s">
        <v>12</v>
      </c>
      <c r="N40">
        <v>1000000076</v>
      </c>
      <c r="O40">
        <v>67000</v>
      </c>
      <c r="P40" t="s">
        <v>22</v>
      </c>
      <c r="Q40" t="s">
        <v>28</v>
      </c>
      <c r="R40" t="s">
        <v>104</v>
      </c>
      <c r="S40" t="s">
        <v>304</v>
      </c>
    </row>
    <row r="41" spans="1:19" x14ac:dyDescent="0.3">
      <c r="A41" t="s">
        <v>13</v>
      </c>
      <c r="B41">
        <v>1000000077</v>
      </c>
      <c r="C41">
        <v>56000</v>
      </c>
      <c r="D41" t="s">
        <v>23</v>
      </c>
      <c r="E41" t="s">
        <v>27</v>
      </c>
      <c r="F41" t="s">
        <v>105</v>
      </c>
      <c r="G41" t="s">
        <v>305</v>
      </c>
      <c r="M41" t="s">
        <v>14</v>
      </c>
      <c r="N41">
        <v>1000000078</v>
      </c>
      <c r="O41">
        <v>89000</v>
      </c>
      <c r="P41" t="s">
        <v>24</v>
      </c>
      <c r="Q41" t="s">
        <v>28</v>
      </c>
      <c r="R41" t="s">
        <v>106</v>
      </c>
      <c r="S41" t="s">
        <v>306</v>
      </c>
    </row>
    <row r="42" spans="1:19" x14ac:dyDescent="0.3">
      <c r="A42" t="s">
        <v>15</v>
      </c>
      <c r="B42">
        <v>1000000079</v>
      </c>
      <c r="C42">
        <v>46000</v>
      </c>
      <c r="D42" t="s">
        <v>25</v>
      </c>
      <c r="E42" t="s">
        <v>27</v>
      </c>
      <c r="F42" t="s">
        <v>107</v>
      </c>
      <c r="G42" t="s">
        <v>307</v>
      </c>
      <c r="M42" t="s">
        <v>16</v>
      </c>
      <c r="N42">
        <v>1000000080</v>
      </c>
      <c r="O42">
        <v>77000</v>
      </c>
      <c r="P42" t="s">
        <v>26</v>
      </c>
      <c r="Q42" t="s">
        <v>28</v>
      </c>
      <c r="R42" t="s">
        <v>108</v>
      </c>
      <c r="S42" t="s">
        <v>308</v>
      </c>
    </row>
    <row r="43" spans="1:19" x14ac:dyDescent="0.3">
      <c r="A43" t="s">
        <v>7</v>
      </c>
      <c r="B43">
        <v>1000000081</v>
      </c>
      <c r="C43">
        <v>50000</v>
      </c>
      <c r="D43" t="s">
        <v>17</v>
      </c>
      <c r="E43" t="s">
        <v>27</v>
      </c>
      <c r="F43" t="s">
        <v>109</v>
      </c>
      <c r="G43" t="s">
        <v>309</v>
      </c>
      <c r="M43" t="s">
        <v>8</v>
      </c>
      <c r="N43">
        <v>1000000082</v>
      </c>
      <c r="O43">
        <v>75000</v>
      </c>
      <c r="P43" t="s">
        <v>18</v>
      </c>
      <c r="Q43" t="s">
        <v>28</v>
      </c>
      <c r="R43" t="s">
        <v>110</v>
      </c>
      <c r="S43" t="s">
        <v>310</v>
      </c>
    </row>
    <row r="44" spans="1:19" x14ac:dyDescent="0.3">
      <c r="A44" t="s">
        <v>9</v>
      </c>
      <c r="B44">
        <v>1000000083</v>
      </c>
      <c r="C44">
        <v>120000</v>
      </c>
      <c r="D44" t="s">
        <v>19</v>
      </c>
      <c r="E44" t="s">
        <v>27</v>
      </c>
      <c r="F44" t="s">
        <v>111</v>
      </c>
      <c r="G44" t="s">
        <v>311</v>
      </c>
      <c r="M44" t="s">
        <v>10</v>
      </c>
      <c r="N44">
        <v>1000000084</v>
      </c>
      <c r="O44">
        <v>45000</v>
      </c>
      <c r="P44" t="s">
        <v>20</v>
      </c>
      <c r="Q44" t="s">
        <v>28</v>
      </c>
      <c r="R44" t="s">
        <v>112</v>
      </c>
      <c r="S44" t="s">
        <v>312</v>
      </c>
    </row>
    <row r="45" spans="1:19" x14ac:dyDescent="0.3">
      <c r="A45" t="s">
        <v>11</v>
      </c>
      <c r="B45">
        <v>1000000085</v>
      </c>
      <c r="C45">
        <v>98000</v>
      </c>
      <c r="D45" t="s">
        <v>21</v>
      </c>
      <c r="E45" t="s">
        <v>27</v>
      </c>
      <c r="F45" t="s">
        <v>113</v>
      </c>
      <c r="G45" t="s">
        <v>313</v>
      </c>
      <c r="M45" t="s">
        <v>12</v>
      </c>
      <c r="N45">
        <v>1000000086</v>
      </c>
      <c r="O45">
        <v>67000</v>
      </c>
      <c r="P45" t="s">
        <v>22</v>
      </c>
      <c r="Q45" t="s">
        <v>28</v>
      </c>
      <c r="R45" t="s">
        <v>114</v>
      </c>
      <c r="S45" t="s">
        <v>314</v>
      </c>
    </row>
    <row r="46" spans="1:19" x14ac:dyDescent="0.3">
      <c r="A46" t="s">
        <v>13</v>
      </c>
      <c r="B46">
        <v>1000000087</v>
      </c>
      <c r="C46">
        <v>56000</v>
      </c>
      <c r="D46" t="s">
        <v>23</v>
      </c>
      <c r="E46" t="s">
        <v>27</v>
      </c>
      <c r="F46" t="s">
        <v>115</v>
      </c>
      <c r="G46" t="s">
        <v>315</v>
      </c>
      <c r="M46" t="s">
        <v>14</v>
      </c>
      <c r="N46">
        <v>1000000088</v>
      </c>
      <c r="O46">
        <v>89000</v>
      </c>
      <c r="P46" t="s">
        <v>24</v>
      </c>
      <c r="Q46" t="s">
        <v>28</v>
      </c>
      <c r="R46" t="s">
        <v>116</v>
      </c>
      <c r="S46" t="s">
        <v>316</v>
      </c>
    </row>
    <row r="47" spans="1:19" x14ac:dyDescent="0.3">
      <c r="A47" t="s">
        <v>15</v>
      </c>
      <c r="B47">
        <v>1000000089</v>
      </c>
      <c r="C47">
        <v>46000</v>
      </c>
      <c r="D47" t="s">
        <v>25</v>
      </c>
      <c r="E47" t="s">
        <v>27</v>
      </c>
      <c r="F47" t="s">
        <v>117</v>
      </c>
      <c r="G47" t="s">
        <v>317</v>
      </c>
      <c r="M47" t="s">
        <v>16</v>
      </c>
      <c r="N47">
        <v>1000000090</v>
      </c>
      <c r="O47">
        <v>77000</v>
      </c>
      <c r="P47" t="s">
        <v>26</v>
      </c>
      <c r="Q47" t="s">
        <v>28</v>
      </c>
      <c r="R47" t="s">
        <v>118</v>
      </c>
      <c r="S47" t="s">
        <v>318</v>
      </c>
    </row>
    <row r="48" spans="1:19" x14ac:dyDescent="0.3">
      <c r="A48" t="s">
        <v>7</v>
      </c>
      <c r="B48">
        <v>1000000091</v>
      </c>
      <c r="C48">
        <v>50000</v>
      </c>
      <c r="D48" t="s">
        <v>17</v>
      </c>
      <c r="E48" t="s">
        <v>27</v>
      </c>
      <c r="F48" t="s">
        <v>119</v>
      </c>
      <c r="G48" t="s">
        <v>319</v>
      </c>
      <c r="M48" t="s">
        <v>8</v>
      </c>
      <c r="N48">
        <v>1000000092</v>
      </c>
      <c r="O48">
        <v>75000</v>
      </c>
      <c r="P48" t="s">
        <v>18</v>
      </c>
      <c r="Q48" t="s">
        <v>28</v>
      </c>
      <c r="R48" t="s">
        <v>120</v>
      </c>
      <c r="S48" t="s">
        <v>320</v>
      </c>
    </row>
    <row r="49" spans="1:19" x14ac:dyDescent="0.3">
      <c r="A49" t="s">
        <v>9</v>
      </c>
      <c r="B49">
        <v>1000000093</v>
      </c>
      <c r="C49">
        <v>120000</v>
      </c>
      <c r="D49" t="s">
        <v>19</v>
      </c>
      <c r="E49" t="s">
        <v>27</v>
      </c>
      <c r="F49" t="s">
        <v>121</v>
      </c>
      <c r="G49" t="s">
        <v>321</v>
      </c>
      <c r="M49" t="s">
        <v>10</v>
      </c>
      <c r="N49">
        <v>1000000094</v>
      </c>
      <c r="O49">
        <v>45000</v>
      </c>
      <c r="P49" t="s">
        <v>20</v>
      </c>
      <c r="Q49" t="s">
        <v>28</v>
      </c>
      <c r="R49" t="s">
        <v>122</v>
      </c>
      <c r="S49" t="s">
        <v>322</v>
      </c>
    </row>
    <row r="50" spans="1:19" x14ac:dyDescent="0.3">
      <c r="A50" t="s">
        <v>11</v>
      </c>
      <c r="B50">
        <v>1000000095</v>
      </c>
      <c r="C50">
        <v>98000</v>
      </c>
      <c r="D50" t="s">
        <v>21</v>
      </c>
      <c r="E50" t="s">
        <v>27</v>
      </c>
      <c r="F50" t="s">
        <v>123</v>
      </c>
      <c r="G50" t="s">
        <v>323</v>
      </c>
      <c r="M50" t="s">
        <v>12</v>
      </c>
      <c r="N50">
        <v>1000000096</v>
      </c>
      <c r="O50">
        <v>67000</v>
      </c>
      <c r="P50" t="s">
        <v>22</v>
      </c>
      <c r="Q50" t="s">
        <v>28</v>
      </c>
      <c r="R50" t="s">
        <v>124</v>
      </c>
      <c r="S50" t="s">
        <v>324</v>
      </c>
    </row>
    <row r="51" spans="1:19" x14ac:dyDescent="0.3">
      <c r="A51" t="s">
        <v>13</v>
      </c>
      <c r="B51">
        <v>1000000097</v>
      </c>
      <c r="C51">
        <v>56000</v>
      </c>
      <c r="D51" t="s">
        <v>23</v>
      </c>
      <c r="E51" t="s">
        <v>27</v>
      </c>
      <c r="F51" t="s">
        <v>125</v>
      </c>
      <c r="G51" t="s">
        <v>325</v>
      </c>
      <c r="M51" t="s">
        <v>14</v>
      </c>
      <c r="N51">
        <v>1000000098</v>
      </c>
      <c r="O51">
        <v>89000</v>
      </c>
      <c r="P51" t="s">
        <v>24</v>
      </c>
      <c r="Q51" t="s">
        <v>28</v>
      </c>
      <c r="R51" t="s">
        <v>126</v>
      </c>
      <c r="S51" t="s">
        <v>326</v>
      </c>
    </row>
    <row r="52" spans="1:19" x14ac:dyDescent="0.3">
      <c r="A52" t="s">
        <v>15</v>
      </c>
      <c r="B52">
        <v>1000000099</v>
      </c>
      <c r="C52">
        <v>46000</v>
      </c>
      <c r="D52" t="s">
        <v>25</v>
      </c>
      <c r="E52" t="s">
        <v>27</v>
      </c>
      <c r="F52" t="s">
        <v>127</v>
      </c>
      <c r="G52" t="s">
        <v>327</v>
      </c>
      <c r="M52" t="s">
        <v>16</v>
      </c>
      <c r="N52">
        <v>1000000100</v>
      </c>
      <c r="O52">
        <v>77000</v>
      </c>
      <c r="P52" t="s">
        <v>26</v>
      </c>
      <c r="Q52" t="s">
        <v>28</v>
      </c>
      <c r="R52" t="s">
        <v>128</v>
      </c>
      <c r="S52" t="s">
        <v>328</v>
      </c>
    </row>
    <row r="53" spans="1:19" x14ac:dyDescent="0.3">
      <c r="A53" t="s">
        <v>7</v>
      </c>
      <c r="B53">
        <v>1000000101</v>
      </c>
      <c r="C53">
        <v>50000</v>
      </c>
      <c r="D53" t="s">
        <v>17</v>
      </c>
      <c r="E53" t="s">
        <v>27</v>
      </c>
      <c r="F53" t="s">
        <v>129</v>
      </c>
      <c r="G53" t="s">
        <v>329</v>
      </c>
      <c r="M53" t="s">
        <v>8</v>
      </c>
      <c r="N53">
        <v>1000000102</v>
      </c>
      <c r="O53">
        <v>75000</v>
      </c>
      <c r="P53" t="s">
        <v>18</v>
      </c>
      <c r="Q53" t="s">
        <v>28</v>
      </c>
      <c r="R53" t="s">
        <v>130</v>
      </c>
      <c r="S53" t="s">
        <v>330</v>
      </c>
    </row>
    <row r="54" spans="1:19" x14ac:dyDescent="0.3">
      <c r="A54" t="s">
        <v>9</v>
      </c>
      <c r="B54">
        <v>1000000103</v>
      </c>
      <c r="C54">
        <v>120000</v>
      </c>
      <c r="D54" t="s">
        <v>19</v>
      </c>
      <c r="E54" t="s">
        <v>27</v>
      </c>
      <c r="F54" t="s">
        <v>131</v>
      </c>
      <c r="G54" t="s">
        <v>331</v>
      </c>
      <c r="M54" t="s">
        <v>10</v>
      </c>
      <c r="N54">
        <v>1000000104</v>
      </c>
      <c r="O54">
        <v>45000</v>
      </c>
      <c r="P54" t="s">
        <v>20</v>
      </c>
      <c r="Q54" t="s">
        <v>28</v>
      </c>
      <c r="R54" t="s">
        <v>132</v>
      </c>
      <c r="S54" t="s">
        <v>332</v>
      </c>
    </row>
    <row r="55" spans="1:19" x14ac:dyDescent="0.3">
      <c r="A55" t="s">
        <v>11</v>
      </c>
      <c r="B55">
        <v>1000000105</v>
      </c>
      <c r="C55">
        <v>98000</v>
      </c>
      <c r="D55" t="s">
        <v>21</v>
      </c>
      <c r="E55" t="s">
        <v>27</v>
      </c>
      <c r="F55" t="s">
        <v>133</v>
      </c>
      <c r="G55" t="s">
        <v>333</v>
      </c>
      <c r="M55" t="s">
        <v>12</v>
      </c>
      <c r="N55">
        <v>1000000106</v>
      </c>
      <c r="O55">
        <v>67000</v>
      </c>
      <c r="P55" t="s">
        <v>22</v>
      </c>
      <c r="Q55" t="s">
        <v>28</v>
      </c>
      <c r="R55" t="s">
        <v>134</v>
      </c>
      <c r="S55" t="s">
        <v>334</v>
      </c>
    </row>
    <row r="56" spans="1:19" x14ac:dyDescent="0.3">
      <c r="A56" t="s">
        <v>13</v>
      </c>
      <c r="B56">
        <v>1000000107</v>
      </c>
      <c r="C56">
        <v>56000</v>
      </c>
      <c r="D56" t="s">
        <v>23</v>
      </c>
      <c r="E56" t="s">
        <v>27</v>
      </c>
      <c r="F56" t="s">
        <v>135</v>
      </c>
      <c r="G56" t="s">
        <v>335</v>
      </c>
      <c r="M56" t="s">
        <v>14</v>
      </c>
      <c r="N56">
        <v>1000000108</v>
      </c>
      <c r="O56">
        <v>89000</v>
      </c>
      <c r="P56" t="s">
        <v>24</v>
      </c>
      <c r="Q56" t="s">
        <v>28</v>
      </c>
      <c r="R56" t="s">
        <v>136</v>
      </c>
      <c r="S56" t="s">
        <v>336</v>
      </c>
    </row>
    <row r="57" spans="1:19" x14ac:dyDescent="0.3">
      <c r="A57" t="s">
        <v>15</v>
      </c>
      <c r="B57">
        <v>1000000109</v>
      </c>
      <c r="C57">
        <v>46000</v>
      </c>
      <c r="D57" t="s">
        <v>25</v>
      </c>
      <c r="E57" t="s">
        <v>27</v>
      </c>
      <c r="F57" t="s">
        <v>137</v>
      </c>
      <c r="G57" t="s">
        <v>337</v>
      </c>
      <c r="M57" t="s">
        <v>16</v>
      </c>
      <c r="N57">
        <v>1000000110</v>
      </c>
      <c r="O57">
        <v>77000</v>
      </c>
      <c r="P57" t="s">
        <v>26</v>
      </c>
      <c r="Q57" t="s">
        <v>28</v>
      </c>
      <c r="R57" t="s">
        <v>138</v>
      </c>
      <c r="S57" t="s">
        <v>338</v>
      </c>
    </row>
    <row r="58" spans="1:19" x14ac:dyDescent="0.3">
      <c r="A58" t="s">
        <v>7</v>
      </c>
      <c r="B58">
        <v>1000000111</v>
      </c>
      <c r="C58">
        <v>50000</v>
      </c>
      <c r="D58" t="s">
        <v>17</v>
      </c>
      <c r="E58" t="s">
        <v>27</v>
      </c>
      <c r="F58" t="s">
        <v>139</v>
      </c>
      <c r="G58" t="s">
        <v>339</v>
      </c>
      <c r="M58" t="s">
        <v>8</v>
      </c>
      <c r="N58">
        <v>1000000112</v>
      </c>
      <c r="O58">
        <v>75000</v>
      </c>
      <c r="P58" t="s">
        <v>18</v>
      </c>
      <c r="Q58" t="s">
        <v>28</v>
      </c>
      <c r="R58" t="s">
        <v>140</v>
      </c>
      <c r="S58" t="s">
        <v>340</v>
      </c>
    </row>
    <row r="59" spans="1:19" x14ac:dyDescent="0.3">
      <c r="A59" t="s">
        <v>9</v>
      </c>
      <c r="B59">
        <v>1000000113</v>
      </c>
      <c r="C59">
        <v>120000</v>
      </c>
      <c r="D59" t="s">
        <v>19</v>
      </c>
      <c r="E59" t="s">
        <v>27</v>
      </c>
      <c r="F59" t="s">
        <v>141</v>
      </c>
      <c r="G59" t="s">
        <v>341</v>
      </c>
      <c r="M59" t="s">
        <v>10</v>
      </c>
      <c r="N59">
        <v>1000000114</v>
      </c>
      <c r="O59">
        <v>45000</v>
      </c>
      <c r="P59" t="s">
        <v>20</v>
      </c>
      <c r="Q59" t="s">
        <v>28</v>
      </c>
      <c r="R59" t="s">
        <v>142</v>
      </c>
      <c r="S59" t="s">
        <v>342</v>
      </c>
    </row>
    <row r="60" spans="1:19" x14ac:dyDescent="0.3">
      <c r="A60" t="s">
        <v>11</v>
      </c>
      <c r="B60">
        <v>1000000115</v>
      </c>
      <c r="C60">
        <v>98000</v>
      </c>
      <c r="D60" t="s">
        <v>21</v>
      </c>
      <c r="E60" t="s">
        <v>27</v>
      </c>
      <c r="F60" t="s">
        <v>143</v>
      </c>
      <c r="G60" t="s">
        <v>343</v>
      </c>
      <c r="M60" t="s">
        <v>12</v>
      </c>
      <c r="N60">
        <v>1000000116</v>
      </c>
      <c r="O60">
        <v>67000</v>
      </c>
      <c r="P60" t="s">
        <v>22</v>
      </c>
      <c r="Q60" t="s">
        <v>28</v>
      </c>
      <c r="R60" t="s">
        <v>144</v>
      </c>
      <c r="S60" t="s">
        <v>344</v>
      </c>
    </row>
    <row r="61" spans="1:19" x14ac:dyDescent="0.3">
      <c r="A61" t="s">
        <v>13</v>
      </c>
      <c r="B61">
        <v>1000000117</v>
      </c>
      <c r="C61">
        <v>56000</v>
      </c>
      <c r="D61" t="s">
        <v>23</v>
      </c>
      <c r="E61" t="s">
        <v>27</v>
      </c>
      <c r="F61" t="s">
        <v>145</v>
      </c>
      <c r="G61" t="s">
        <v>345</v>
      </c>
      <c r="M61" t="s">
        <v>14</v>
      </c>
      <c r="N61">
        <v>1000000118</v>
      </c>
      <c r="O61">
        <v>89000</v>
      </c>
      <c r="P61" t="s">
        <v>24</v>
      </c>
      <c r="Q61" t="s">
        <v>28</v>
      </c>
      <c r="R61" t="s">
        <v>146</v>
      </c>
      <c r="S61" t="s">
        <v>346</v>
      </c>
    </row>
    <row r="62" spans="1:19" x14ac:dyDescent="0.3">
      <c r="A62" t="s">
        <v>15</v>
      </c>
      <c r="B62">
        <v>1000000119</v>
      </c>
      <c r="C62">
        <v>46000</v>
      </c>
      <c r="D62" t="s">
        <v>25</v>
      </c>
      <c r="E62" t="s">
        <v>27</v>
      </c>
      <c r="F62" t="s">
        <v>147</v>
      </c>
      <c r="G62" t="s">
        <v>347</v>
      </c>
      <c r="M62" t="s">
        <v>16</v>
      </c>
      <c r="N62">
        <v>1000000120</v>
      </c>
      <c r="O62">
        <v>77000</v>
      </c>
      <c r="P62" t="s">
        <v>26</v>
      </c>
      <c r="Q62" t="s">
        <v>28</v>
      </c>
      <c r="R62" t="s">
        <v>148</v>
      </c>
      <c r="S62" t="s">
        <v>348</v>
      </c>
    </row>
    <row r="63" spans="1:19" x14ac:dyDescent="0.3">
      <c r="A63" t="s">
        <v>7</v>
      </c>
      <c r="B63">
        <v>1000000121</v>
      </c>
      <c r="C63">
        <v>50000</v>
      </c>
      <c r="D63" t="s">
        <v>17</v>
      </c>
      <c r="E63" t="s">
        <v>27</v>
      </c>
      <c r="F63" t="s">
        <v>149</v>
      </c>
      <c r="G63" t="s">
        <v>349</v>
      </c>
      <c r="M63" t="s">
        <v>8</v>
      </c>
      <c r="N63">
        <v>1000000122</v>
      </c>
      <c r="O63">
        <v>75000</v>
      </c>
      <c r="P63" t="s">
        <v>18</v>
      </c>
      <c r="Q63" t="s">
        <v>28</v>
      </c>
      <c r="R63" t="s">
        <v>150</v>
      </c>
      <c r="S63" t="s">
        <v>350</v>
      </c>
    </row>
    <row r="64" spans="1:19" x14ac:dyDescent="0.3">
      <c r="A64" t="s">
        <v>9</v>
      </c>
      <c r="B64">
        <v>1000000123</v>
      </c>
      <c r="C64">
        <v>120000</v>
      </c>
      <c r="D64" t="s">
        <v>19</v>
      </c>
      <c r="E64" t="s">
        <v>27</v>
      </c>
      <c r="F64" t="s">
        <v>151</v>
      </c>
      <c r="G64" t="s">
        <v>351</v>
      </c>
      <c r="M64" t="s">
        <v>10</v>
      </c>
      <c r="N64">
        <v>1000000124</v>
      </c>
      <c r="O64">
        <v>45000</v>
      </c>
      <c r="P64" t="s">
        <v>20</v>
      </c>
      <c r="Q64" t="s">
        <v>28</v>
      </c>
      <c r="R64" t="s">
        <v>152</v>
      </c>
      <c r="S64" t="s">
        <v>352</v>
      </c>
    </row>
    <row r="65" spans="1:19" x14ac:dyDescent="0.3">
      <c r="A65" t="s">
        <v>11</v>
      </c>
      <c r="B65">
        <v>1000000125</v>
      </c>
      <c r="C65">
        <v>98000</v>
      </c>
      <c r="D65" t="s">
        <v>21</v>
      </c>
      <c r="E65" t="s">
        <v>27</v>
      </c>
      <c r="F65" t="s">
        <v>153</v>
      </c>
      <c r="G65" t="s">
        <v>353</v>
      </c>
      <c r="M65" t="s">
        <v>12</v>
      </c>
      <c r="N65">
        <v>1000000126</v>
      </c>
      <c r="O65">
        <v>67000</v>
      </c>
      <c r="P65" t="s">
        <v>22</v>
      </c>
      <c r="Q65" t="s">
        <v>28</v>
      </c>
      <c r="R65" t="s">
        <v>154</v>
      </c>
      <c r="S65" t="s">
        <v>354</v>
      </c>
    </row>
    <row r="66" spans="1:19" x14ac:dyDescent="0.3">
      <c r="A66" t="s">
        <v>13</v>
      </c>
      <c r="B66">
        <v>1000000127</v>
      </c>
      <c r="C66">
        <v>56000</v>
      </c>
      <c r="D66" t="s">
        <v>23</v>
      </c>
      <c r="E66" t="s">
        <v>27</v>
      </c>
      <c r="F66" t="s">
        <v>155</v>
      </c>
      <c r="G66" t="s">
        <v>355</v>
      </c>
      <c r="M66" t="s">
        <v>14</v>
      </c>
      <c r="N66">
        <v>1000000128</v>
      </c>
      <c r="O66">
        <v>89000</v>
      </c>
      <c r="P66" t="s">
        <v>24</v>
      </c>
      <c r="Q66" t="s">
        <v>28</v>
      </c>
      <c r="R66" t="s">
        <v>156</v>
      </c>
      <c r="S66" t="s">
        <v>356</v>
      </c>
    </row>
    <row r="67" spans="1:19" x14ac:dyDescent="0.3">
      <c r="A67" t="s">
        <v>15</v>
      </c>
      <c r="B67">
        <v>1000000129</v>
      </c>
      <c r="C67">
        <v>46000</v>
      </c>
      <c r="D67" t="s">
        <v>25</v>
      </c>
      <c r="E67" t="s">
        <v>27</v>
      </c>
      <c r="F67" t="s">
        <v>157</v>
      </c>
      <c r="G67" t="s">
        <v>357</v>
      </c>
      <c r="M67" t="s">
        <v>16</v>
      </c>
      <c r="N67">
        <v>1000000130</v>
      </c>
      <c r="O67">
        <v>77000</v>
      </c>
      <c r="P67" t="s">
        <v>26</v>
      </c>
      <c r="Q67" t="s">
        <v>28</v>
      </c>
      <c r="R67" t="s">
        <v>158</v>
      </c>
      <c r="S67" t="s">
        <v>358</v>
      </c>
    </row>
    <row r="68" spans="1:19" x14ac:dyDescent="0.3">
      <c r="A68" t="s">
        <v>7</v>
      </c>
      <c r="B68">
        <v>1000000131</v>
      </c>
      <c r="C68">
        <v>50000</v>
      </c>
      <c r="D68" t="s">
        <v>17</v>
      </c>
      <c r="E68" t="s">
        <v>27</v>
      </c>
      <c r="F68" t="s">
        <v>159</v>
      </c>
      <c r="G68" t="s">
        <v>359</v>
      </c>
      <c r="M68" t="s">
        <v>8</v>
      </c>
      <c r="N68">
        <v>1000000132</v>
      </c>
      <c r="O68">
        <v>75000</v>
      </c>
      <c r="P68" t="s">
        <v>18</v>
      </c>
      <c r="Q68" t="s">
        <v>28</v>
      </c>
      <c r="R68" t="s">
        <v>160</v>
      </c>
      <c r="S68" t="s">
        <v>360</v>
      </c>
    </row>
    <row r="69" spans="1:19" x14ac:dyDescent="0.3">
      <c r="A69" t="s">
        <v>9</v>
      </c>
      <c r="B69">
        <v>1000000133</v>
      </c>
      <c r="C69">
        <v>120000</v>
      </c>
      <c r="D69" t="s">
        <v>19</v>
      </c>
      <c r="E69" t="s">
        <v>27</v>
      </c>
      <c r="F69" t="s">
        <v>161</v>
      </c>
      <c r="G69" t="s">
        <v>361</v>
      </c>
      <c r="M69" t="s">
        <v>10</v>
      </c>
      <c r="N69">
        <v>1000000134</v>
      </c>
      <c r="O69">
        <v>45000</v>
      </c>
      <c r="P69" t="s">
        <v>20</v>
      </c>
      <c r="Q69" t="s">
        <v>28</v>
      </c>
      <c r="R69" t="s">
        <v>162</v>
      </c>
      <c r="S69" t="s">
        <v>362</v>
      </c>
    </row>
    <row r="70" spans="1:19" x14ac:dyDescent="0.3">
      <c r="A70" t="s">
        <v>11</v>
      </c>
      <c r="B70">
        <v>1000000135</v>
      </c>
      <c r="C70">
        <v>98000</v>
      </c>
      <c r="D70" t="s">
        <v>21</v>
      </c>
      <c r="E70" t="s">
        <v>27</v>
      </c>
      <c r="F70" t="s">
        <v>163</v>
      </c>
      <c r="G70" t="s">
        <v>363</v>
      </c>
      <c r="M70" t="s">
        <v>12</v>
      </c>
      <c r="N70">
        <v>1000000136</v>
      </c>
      <c r="O70">
        <v>67000</v>
      </c>
      <c r="P70" t="s">
        <v>22</v>
      </c>
      <c r="Q70" t="s">
        <v>28</v>
      </c>
      <c r="R70" t="s">
        <v>164</v>
      </c>
      <c r="S70" t="s">
        <v>364</v>
      </c>
    </row>
    <row r="71" spans="1:19" x14ac:dyDescent="0.3">
      <c r="A71" t="s">
        <v>13</v>
      </c>
      <c r="B71">
        <v>1000000137</v>
      </c>
      <c r="C71">
        <v>56000</v>
      </c>
      <c r="D71" t="s">
        <v>23</v>
      </c>
      <c r="E71" t="s">
        <v>27</v>
      </c>
      <c r="F71" t="s">
        <v>165</v>
      </c>
      <c r="G71" t="s">
        <v>365</v>
      </c>
      <c r="M71" t="s">
        <v>14</v>
      </c>
      <c r="N71">
        <v>1000000138</v>
      </c>
      <c r="O71">
        <v>89000</v>
      </c>
      <c r="P71" t="s">
        <v>24</v>
      </c>
      <c r="Q71" t="s">
        <v>28</v>
      </c>
      <c r="R71" t="s">
        <v>166</v>
      </c>
      <c r="S71" t="s">
        <v>366</v>
      </c>
    </row>
    <row r="72" spans="1:19" x14ac:dyDescent="0.3">
      <c r="A72" t="s">
        <v>15</v>
      </c>
      <c r="B72">
        <v>1000000139</v>
      </c>
      <c r="C72">
        <v>46000</v>
      </c>
      <c r="D72" t="s">
        <v>25</v>
      </c>
      <c r="E72" t="s">
        <v>27</v>
      </c>
      <c r="F72" t="s">
        <v>167</v>
      </c>
      <c r="G72" t="s">
        <v>367</v>
      </c>
      <c r="M72" t="s">
        <v>16</v>
      </c>
      <c r="N72">
        <v>1000000140</v>
      </c>
      <c r="O72">
        <v>77000</v>
      </c>
      <c r="P72" t="s">
        <v>26</v>
      </c>
      <c r="Q72" t="s">
        <v>28</v>
      </c>
      <c r="R72" t="s">
        <v>168</v>
      </c>
      <c r="S72" t="s">
        <v>368</v>
      </c>
    </row>
    <row r="73" spans="1:19" x14ac:dyDescent="0.3">
      <c r="A73" t="s">
        <v>7</v>
      </c>
      <c r="B73">
        <v>1000000141</v>
      </c>
      <c r="C73">
        <v>50000</v>
      </c>
      <c r="D73" t="s">
        <v>17</v>
      </c>
      <c r="E73" t="s">
        <v>27</v>
      </c>
      <c r="F73" t="s">
        <v>169</v>
      </c>
      <c r="G73" t="s">
        <v>369</v>
      </c>
      <c r="M73" t="s">
        <v>8</v>
      </c>
      <c r="N73">
        <v>1000000142</v>
      </c>
      <c r="O73">
        <v>75000</v>
      </c>
      <c r="P73" t="s">
        <v>18</v>
      </c>
      <c r="Q73" t="s">
        <v>28</v>
      </c>
      <c r="R73" t="s">
        <v>170</v>
      </c>
      <c r="S73" t="s">
        <v>370</v>
      </c>
    </row>
    <row r="74" spans="1:19" x14ac:dyDescent="0.3">
      <c r="A74" t="s">
        <v>9</v>
      </c>
      <c r="B74">
        <v>1000000143</v>
      </c>
      <c r="C74">
        <v>120000</v>
      </c>
      <c r="D74" t="s">
        <v>19</v>
      </c>
      <c r="E74" t="s">
        <v>27</v>
      </c>
      <c r="F74" t="s">
        <v>171</v>
      </c>
      <c r="G74" t="s">
        <v>371</v>
      </c>
      <c r="M74" t="s">
        <v>10</v>
      </c>
      <c r="N74">
        <v>1000000144</v>
      </c>
      <c r="O74">
        <v>45000</v>
      </c>
      <c r="P74" t="s">
        <v>20</v>
      </c>
      <c r="Q74" t="s">
        <v>28</v>
      </c>
      <c r="R74" t="s">
        <v>172</v>
      </c>
      <c r="S74" t="s">
        <v>372</v>
      </c>
    </row>
    <row r="75" spans="1:19" x14ac:dyDescent="0.3">
      <c r="A75" t="s">
        <v>11</v>
      </c>
      <c r="B75">
        <v>1000000145</v>
      </c>
      <c r="C75">
        <v>98000</v>
      </c>
      <c r="D75" t="s">
        <v>21</v>
      </c>
      <c r="E75" t="s">
        <v>27</v>
      </c>
      <c r="F75" t="s">
        <v>173</v>
      </c>
      <c r="G75" t="s">
        <v>373</v>
      </c>
      <c r="M75" t="s">
        <v>12</v>
      </c>
      <c r="N75">
        <v>1000000146</v>
      </c>
      <c r="O75">
        <v>67000</v>
      </c>
      <c r="P75" t="s">
        <v>22</v>
      </c>
      <c r="Q75" t="s">
        <v>28</v>
      </c>
      <c r="R75" t="s">
        <v>174</v>
      </c>
      <c r="S75" t="s">
        <v>374</v>
      </c>
    </row>
    <row r="76" spans="1:19" x14ac:dyDescent="0.3">
      <c r="A76" t="s">
        <v>13</v>
      </c>
      <c r="B76">
        <v>1000000147</v>
      </c>
      <c r="C76">
        <v>56000</v>
      </c>
      <c r="D76" t="s">
        <v>23</v>
      </c>
      <c r="E76" t="s">
        <v>27</v>
      </c>
      <c r="F76" t="s">
        <v>175</v>
      </c>
      <c r="G76" t="s">
        <v>375</v>
      </c>
      <c r="M76" t="s">
        <v>14</v>
      </c>
      <c r="N76">
        <v>1000000148</v>
      </c>
      <c r="O76">
        <v>89000</v>
      </c>
      <c r="P76" t="s">
        <v>24</v>
      </c>
      <c r="Q76" t="s">
        <v>28</v>
      </c>
      <c r="R76" t="s">
        <v>176</v>
      </c>
      <c r="S76" t="s">
        <v>376</v>
      </c>
    </row>
    <row r="77" spans="1:19" x14ac:dyDescent="0.3">
      <c r="A77" t="s">
        <v>15</v>
      </c>
      <c r="B77">
        <v>1000000149</v>
      </c>
      <c r="C77">
        <v>46000</v>
      </c>
      <c r="D77" t="s">
        <v>25</v>
      </c>
      <c r="E77" t="s">
        <v>27</v>
      </c>
      <c r="F77" t="s">
        <v>177</v>
      </c>
      <c r="G77" t="s">
        <v>377</v>
      </c>
      <c r="M77" t="s">
        <v>16</v>
      </c>
      <c r="N77">
        <v>1000000150</v>
      </c>
      <c r="O77">
        <v>77000</v>
      </c>
      <c r="P77" t="s">
        <v>26</v>
      </c>
      <c r="Q77" t="s">
        <v>28</v>
      </c>
      <c r="R77" t="s">
        <v>178</v>
      </c>
      <c r="S77" t="s">
        <v>378</v>
      </c>
    </row>
    <row r="78" spans="1:19" x14ac:dyDescent="0.3">
      <c r="A78" t="s">
        <v>7</v>
      </c>
      <c r="B78">
        <v>1000000151</v>
      </c>
      <c r="C78">
        <v>50000</v>
      </c>
      <c r="D78" t="s">
        <v>17</v>
      </c>
      <c r="E78" t="s">
        <v>27</v>
      </c>
      <c r="F78" t="s">
        <v>179</v>
      </c>
      <c r="G78" t="s">
        <v>379</v>
      </c>
      <c r="M78" t="s">
        <v>8</v>
      </c>
      <c r="N78">
        <v>1000000152</v>
      </c>
      <c r="O78">
        <v>75000</v>
      </c>
      <c r="P78" t="s">
        <v>18</v>
      </c>
      <c r="Q78" t="s">
        <v>28</v>
      </c>
      <c r="R78" t="s">
        <v>180</v>
      </c>
      <c r="S78" t="s">
        <v>380</v>
      </c>
    </row>
    <row r="79" spans="1:19" x14ac:dyDescent="0.3">
      <c r="A79" t="s">
        <v>9</v>
      </c>
      <c r="B79">
        <v>1000000153</v>
      </c>
      <c r="C79">
        <v>120000</v>
      </c>
      <c r="D79" t="s">
        <v>19</v>
      </c>
      <c r="E79" t="s">
        <v>27</v>
      </c>
      <c r="F79" t="s">
        <v>181</v>
      </c>
      <c r="G79" t="s">
        <v>381</v>
      </c>
      <c r="M79" t="s">
        <v>10</v>
      </c>
      <c r="N79">
        <v>1000000154</v>
      </c>
      <c r="O79">
        <v>45000</v>
      </c>
      <c r="P79" t="s">
        <v>20</v>
      </c>
      <c r="Q79" t="s">
        <v>28</v>
      </c>
      <c r="R79" t="s">
        <v>182</v>
      </c>
      <c r="S79" t="s">
        <v>382</v>
      </c>
    </row>
    <row r="80" spans="1:19" x14ac:dyDescent="0.3">
      <c r="A80" t="s">
        <v>11</v>
      </c>
      <c r="B80">
        <v>1000000155</v>
      </c>
      <c r="C80">
        <v>98000</v>
      </c>
      <c r="D80" t="s">
        <v>21</v>
      </c>
      <c r="E80" t="s">
        <v>27</v>
      </c>
      <c r="F80" t="s">
        <v>183</v>
      </c>
      <c r="G80" t="s">
        <v>383</v>
      </c>
      <c r="M80" t="s">
        <v>12</v>
      </c>
      <c r="N80">
        <v>1000000156</v>
      </c>
      <c r="O80">
        <v>67000</v>
      </c>
      <c r="P80" t="s">
        <v>22</v>
      </c>
      <c r="Q80" t="s">
        <v>28</v>
      </c>
      <c r="R80" t="s">
        <v>184</v>
      </c>
      <c r="S80" t="s">
        <v>384</v>
      </c>
    </row>
    <row r="81" spans="1:19" x14ac:dyDescent="0.3">
      <c r="A81" t="s">
        <v>13</v>
      </c>
      <c r="B81">
        <v>1000000157</v>
      </c>
      <c r="C81">
        <v>56000</v>
      </c>
      <c r="D81" t="s">
        <v>23</v>
      </c>
      <c r="E81" t="s">
        <v>27</v>
      </c>
      <c r="F81" t="s">
        <v>185</v>
      </c>
      <c r="G81" t="s">
        <v>385</v>
      </c>
      <c r="M81" t="s">
        <v>14</v>
      </c>
      <c r="N81">
        <v>1000000158</v>
      </c>
      <c r="O81">
        <v>89000</v>
      </c>
      <c r="P81" t="s">
        <v>24</v>
      </c>
      <c r="Q81" t="s">
        <v>28</v>
      </c>
      <c r="R81" t="s">
        <v>186</v>
      </c>
      <c r="S81" t="s">
        <v>386</v>
      </c>
    </row>
    <row r="82" spans="1:19" x14ac:dyDescent="0.3">
      <c r="A82" t="s">
        <v>15</v>
      </c>
      <c r="B82">
        <v>1000000159</v>
      </c>
      <c r="C82">
        <v>46000</v>
      </c>
      <c r="D82" t="s">
        <v>25</v>
      </c>
      <c r="E82" t="s">
        <v>27</v>
      </c>
      <c r="F82" t="s">
        <v>187</v>
      </c>
      <c r="G82" t="s">
        <v>387</v>
      </c>
      <c r="M82" t="s">
        <v>16</v>
      </c>
      <c r="N82">
        <v>1000000160</v>
      </c>
      <c r="O82">
        <v>77000</v>
      </c>
      <c r="P82" t="s">
        <v>26</v>
      </c>
      <c r="Q82" t="s">
        <v>28</v>
      </c>
      <c r="R82" t="s">
        <v>188</v>
      </c>
      <c r="S82" t="s">
        <v>388</v>
      </c>
    </row>
    <row r="83" spans="1:19" x14ac:dyDescent="0.3">
      <c r="A83" t="s">
        <v>7</v>
      </c>
      <c r="B83">
        <v>1000000161</v>
      </c>
      <c r="C83">
        <v>50000</v>
      </c>
      <c r="D83" t="s">
        <v>17</v>
      </c>
      <c r="E83" t="s">
        <v>27</v>
      </c>
      <c r="F83" t="s">
        <v>189</v>
      </c>
      <c r="G83" t="s">
        <v>389</v>
      </c>
      <c r="M83" t="s">
        <v>8</v>
      </c>
      <c r="N83">
        <v>1000000162</v>
      </c>
      <c r="O83">
        <v>75000</v>
      </c>
      <c r="P83" t="s">
        <v>18</v>
      </c>
      <c r="Q83" t="s">
        <v>28</v>
      </c>
      <c r="R83" t="s">
        <v>190</v>
      </c>
      <c r="S83" t="s">
        <v>390</v>
      </c>
    </row>
    <row r="84" spans="1:19" x14ac:dyDescent="0.3">
      <c r="A84" t="s">
        <v>9</v>
      </c>
      <c r="B84">
        <v>1000000163</v>
      </c>
      <c r="C84">
        <v>120000</v>
      </c>
      <c r="D84" t="s">
        <v>19</v>
      </c>
      <c r="E84" t="s">
        <v>27</v>
      </c>
      <c r="F84" t="s">
        <v>191</v>
      </c>
      <c r="G84" t="s">
        <v>391</v>
      </c>
      <c r="M84" t="s">
        <v>10</v>
      </c>
      <c r="N84">
        <v>1000000164</v>
      </c>
      <c r="O84">
        <v>45000</v>
      </c>
      <c r="P84" t="s">
        <v>20</v>
      </c>
      <c r="Q84" t="s">
        <v>28</v>
      </c>
      <c r="R84" t="s">
        <v>192</v>
      </c>
      <c r="S84" t="s">
        <v>392</v>
      </c>
    </row>
    <row r="85" spans="1:19" x14ac:dyDescent="0.3">
      <c r="A85" t="s">
        <v>11</v>
      </c>
      <c r="B85">
        <v>1000000165</v>
      </c>
      <c r="C85">
        <v>98000</v>
      </c>
      <c r="D85" t="s">
        <v>21</v>
      </c>
      <c r="E85" t="s">
        <v>27</v>
      </c>
      <c r="F85" t="s">
        <v>193</v>
      </c>
      <c r="G85" t="s">
        <v>393</v>
      </c>
      <c r="M85" t="s">
        <v>12</v>
      </c>
      <c r="N85">
        <v>1000000166</v>
      </c>
      <c r="O85">
        <v>67000</v>
      </c>
      <c r="P85" t="s">
        <v>22</v>
      </c>
      <c r="Q85" t="s">
        <v>28</v>
      </c>
      <c r="R85" t="s">
        <v>194</v>
      </c>
      <c r="S85" t="s">
        <v>394</v>
      </c>
    </row>
    <row r="86" spans="1:19" x14ac:dyDescent="0.3">
      <c r="A86" t="s">
        <v>13</v>
      </c>
      <c r="B86">
        <v>1000000167</v>
      </c>
      <c r="C86">
        <v>56000</v>
      </c>
      <c r="D86" t="s">
        <v>23</v>
      </c>
      <c r="E86" t="s">
        <v>27</v>
      </c>
      <c r="F86" t="s">
        <v>195</v>
      </c>
      <c r="G86" t="s">
        <v>395</v>
      </c>
      <c r="M86" t="s">
        <v>14</v>
      </c>
      <c r="N86">
        <v>1000000168</v>
      </c>
      <c r="O86">
        <v>89000</v>
      </c>
      <c r="P86" t="s">
        <v>24</v>
      </c>
      <c r="Q86" t="s">
        <v>28</v>
      </c>
      <c r="R86" t="s">
        <v>196</v>
      </c>
      <c r="S86" t="s">
        <v>396</v>
      </c>
    </row>
    <row r="87" spans="1:19" x14ac:dyDescent="0.3">
      <c r="A87" t="s">
        <v>15</v>
      </c>
      <c r="B87">
        <v>1000000169</v>
      </c>
      <c r="C87">
        <v>46000</v>
      </c>
      <c r="D87" t="s">
        <v>25</v>
      </c>
      <c r="E87" t="s">
        <v>27</v>
      </c>
      <c r="F87" t="s">
        <v>197</v>
      </c>
      <c r="G87" t="s">
        <v>397</v>
      </c>
      <c r="M87" t="s">
        <v>16</v>
      </c>
      <c r="N87">
        <v>1000000170</v>
      </c>
      <c r="O87">
        <v>77000</v>
      </c>
      <c r="P87" t="s">
        <v>26</v>
      </c>
      <c r="Q87" t="s">
        <v>28</v>
      </c>
      <c r="R87" t="s">
        <v>198</v>
      </c>
      <c r="S87" t="s">
        <v>398</v>
      </c>
    </row>
    <row r="88" spans="1:19" x14ac:dyDescent="0.3">
      <c r="A88" t="s">
        <v>7</v>
      </c>
      <c r="B88">
        <v>1000000171</v>
      </c>
      <c r="C88">
        <v>50000</v>
      </c>
      <c r="D88" t="s">
        <v>17</v>
      </c>
      <c r="E88" t="s">
        <v>27</v>
      </c>
      <c r="F88" t="s">
        <v>199</v>
      </c>
      <c r="G88" t="s">
        <v>399</v>
      </c>
      <c r="M88" t="s">
        <v>8</v>
      </c>
      <c r="N88">
        <v>1000000172</v>
      </c>
      <c r="O88">
        <v>75000</v>
      </c>
      <c r="P88" t="s">
        <v>18</v>
      </c>
      <c r="Q88" t="s">
        <v>28</v>
      </c>
      <c r="R88" t="s">
        <v>200</v>
      </c>
      <c r="S88" t="s">
        <v>400</v>
      </c>
    </row>
    <row r="89" spans="1:19" x14ac:dyDescent="0.3">
      <c r="A89" t="s">
        <v>9</v>
      </c>
      <c r="B89">
        <v>1000000173</v>
      </c>
      <c r="C89">
        <v>120000</v>
      </c>
      <c r="D89" t="s">
        <v>19</v>
      </c>
      <c r="E89" t="s">
        <v>27</v>
      </c>
      <c r="F89" t="s">
        <v>201</v>
      </c>
      <c r="G89" t="s">
        <v>401</v>
      </c>
      <c r="M89" t="s">
        <v>10</v>
      </c>
      <c r="N89">
        <v>1000000174</v>
      </c>
      <c r="O89">
        <v>45000</v>
      </c>
      <c r="P89" t="s">
        <v>20</v>
      </c>
      <c r="Q89" t="s">
        <v>28</v>
      </c>
      <c r="R89" t="s">
        <v>202</v>
      </c>
      <c r="S89" t="s">
        <v>402</v>
      </c>
    </row>
    <row r="90" spans="1:19" x14ac:dyDescent="0.3">
      <c r="A90" t="s">
        <v>11</v>
      </c>
      <c r="B90">
        <v>1000000175</v>
      </c>
      <c r="C90">
        <v>98000</v>
      </c>
      <c r="D90" t="s">
        <v>21</v>
      </c>
      <c r="E90" t="s">
        <v>27</v>
      </c>
      <c r="F90" t="s">
        <v>203</v>
      </c>
      <c r="G90" t="s">
        <v>403</v>
      </c>
      <c r="M90" t="s">
        <v>12</v>
      </c>
      <c r="N90">
        <v>1000000176</v>
      </c>
      <c r="O90">
        <v>67000</v>
      </c>
      <c r="P90" t="s">
        <v>22</v>
      </c>
      <c r="Q90" t="s">
        <v>28</v>
      </c>
      <c r="R90" t="s">
        <v>204</v>
      </c>
      <c r="S90" t="s">
        <v>404</v>
      </c>
    </row>
    <row r="91" spans="1:19" x14ac:dyDescent="0.3">
      <c r="A91" t="s">
        <v>13</v>
      </c>
      <c r="B91">
        <v>1000000177</v>
      </c>
      <c r="C91">
        <v>56000</v>
      </c>
      <c r="D91" t="s">
        <v>23</v>
      </c>
      <c r="E91" t="s">
        <v>27</v>
      </c>
      <c r="F91" t="s">
        <v>205</v>
      </c>
      <c r="G91" t="s">
        <v>405</v>
      </c>
      <c r="M91" t="s">
        <v>14</v>
      </c>
      <c r="N91">
        <v>1000000178</v>
      </c>
      <c r="O91">
        <v>89000</v>
      </c>
      <c r="P91" t="s">
        <v>24</v>
      </c>
      <c r="Q91" t="s">
        <v>28</v>
      </c>
      <c r="R91" t="s">
        <v>206</v>
      </c>
      <c r="S91" t="s">
        <v>406</v>
      </c>
    </row>
    <row r="92" spans="1:19" x14ac:dyDescent="0.3">
      <c r="A92" t="s">
        <v>15</v>
      </c>
      <c r="B92">
        <v>1000000179</v>
      </c>
      <c r="C92">
        <v>46000</v>
      </c>
      <c r="D92" t="s">
        <v>25</v>
      </c>
      <c r="E92" t="s">
        <v>27</v>
      </c>
      <c r="F92" t="s">
        <v>207</v>
      </c>
      <c r="G92" t="s">
        <v>407</v>
      </c>
      <c r="M92" t="s">
        <v>16</v>
      </c>
      <c r="N92">
        <v>1000000180</v>
      </c>
      <c r="O92">
        <v>77000</v>
      </c>
      <c r="P92" t="s">
        <v>26</v>
      </c>
      <c r="Q92" t="s">
        <v>28</v>
      </c>
      <c r="R92" t="s">
        <v>208</v>
      </c>
      <c r="S92" t="s">
        <v>408</v>
      </c>
    </row>
    <row r="93" spans="1:19" x14ac:dyDescent="0.3">
      <c r="A93" t="s">
        <v>7</v>
      </c>
      <c r="B93">
        <v>1000000181</v>
      </c>
      <c r="C93">
        <v>50000</v>
      </c>
      <c r="D93" t="s">
        <v>17</v>
      </c>
      <c r="E93" t="s">
        <v>27</v>
      </c>
      <c r="F93" t="s">
        <v>209</v>
      </c>
      <c r="G93" t="s">
        <v>409</v>
      </c>
      <c r="M93" t="s">
        <v>8</v>
      </c>
      <c r="N93">
        <v>1000000182</v>
      </c>
      <c r="O93">
        <v>75000</v>
      </c>
      <c r="P93" t="s">
        <v>18</v>
      </c>
      <c r="Q93" t="s">
        <v>28</v>
      </c>
      <c r="R93" t="s">
        <v>210</v>
      </c>
      <c r="S93" t="s">
        <v>410</v>
      </c>
    </row>
    <row r="94" spans="1:19" x14ac:dyDescent="0.3">
      <c r="A94" t="s">
        <v>9</v>
      </c>
      <c r="B94">
        <v>1000000183</v>
      </c>
      <c r="C94">
        <v>120000</v>
      </c>
      <c r="D94" t="s">
        <v>19</v>
      </c>
      <c r="E94" t="s">
        <v>27</v>
      </c>
      <c r="F94" t="s">
        <v>211</v>
      </c>
      <c r="G94" t="s">
        <v>411</v>
      </c>
      <c r="M94" t="s">
        <v>10</v>
      </c>
      <c r="N94">
        <v>1000000184</v>
      </c>
      <c r="O94">
        <v>45000</v>
      </c>
      <c r="P94" t="s">
        <v>20</v>
      </c>
      <c r="Q94" t="s">
        <v>28</v>
      </c>
      <c r="R94" t="s">
        <v>212</v>
      </c>
      <c r="S94" t="s">
        <v>412</v>
      </c>
    </row>
    <row r="95" spans="1:19" x14ac:dyDescent="0.3">
      <c r="A95" t="s">
        <v>11</v>
      </c>
      <c r="B95">
        <v>1000000185</v>
      </c>
      <c r="C95">
        <v>98000</v>
      </c>
      <c r="D95" t="s">
        <v>21</v>
      </c>
      <c r="E95" t="s">
        <v>27</v>
      </c>
      <c r="F95" t="s">
        <v>213</v>
      </c>
      <c r="G95" t="s">
        <v>413</v>
      </c>
      <c r="M95" t="s">
        <v>12</v>
      </c>
      <c r="N95">
        <v>1000000186</v>
      </c>
      <c r="O95">
        <v>67000</v>
      </c>
      <c r="P95" t="s">
        <v>22</v>
      </c>
      <c r="Q95" t="s">
        <v>28</v>
      </c>
      <c r="R95" t="s">
        <v>214</v>
      </c>
      <c r="S95" t="s">
        <v>414</v>
      </c>
    </row>
    <row r="96" spans="1:19" x14ac:dyDescent="0.3">
      <c r="A96" t="s">
        <v>13</v>
      </c>
      <c r="B96">
        <v>1000000187</v>
      </c>
      <c r="C96">
        <v>56000</v>
      </c>
      <c r="D96" t="s">
        <v>23</v>
      </c>
      <c r="E96" t="s">
        <v>27</v>
      </c>
      <c r="F96" t="s">
        <v>215</v>
      </c>
      <c r="G96" t="s">
        <v>415</v>
      </c>
      <c r="M96" t="s">
        <v>14</v>
      </c>
      <c r="N96">
        <v>1000000188</v>
      </c>
      <c r="O96">
        <v>89000</v>
      </c>
      <c r="P96" t="s">
        <v>24</v>
      </c>
      <c r="Q96" t="s">
        <v>28</v>
      </c>
      <c r="R96" t="s">
        <v>216</v>
      </c>
      <c r="S96" t="s">
        <v>416</v>
      </c>
    </row>
    <row r="97" spans="1:19" x14ac:dyDescent="0.3">
      <c r="A97" t="s">
        <v>15</v>
      </c>
      <c r="B97">
        <v>1000000189</v>
      </c>
      <c r="C97">
        <v>46000</v>
      </c>
      <c r="D97" t="s">
        <v>25</v>
      </c>
      <c r="E97" t="s">
        <v>27</v>
      </c>
      <c r="F97" t="s">
        <v>217</v>
      </c>
      <c r="G97" t="s">
        <v>417</v>
      </c>
      <c r="M97" t="s">
        <v>16</v>
      </c>
      <c r="N97">
        <v>1000000190</v>
      </c>
      <c r="O97">
        <v>77000</v>
      </c>
      <c r="P97" t="s">
        <v>26</v>
      </c>
      <c r="Q97" t="s">
        <v>28</v>
      </c>
      <c r="R97" t="s">
        <v>218</v>
      </c>
      <c r="S97" t="s">
        <v>418</v>
      </c>
    </row>
    <row r="98" spans="1:19" x14ac:dyDescent="0.3">
      <c r="A98" t="s">
        <v>7</v>
      </c>
      <c r="B98">
        <v>1000000191</v>
      </c>
      <c r="C98">
        <v>50000</v>
      </c>
      <c r="D98" t="s">
        <v>17</v>
      </c>
      <c r="E98" t="s">
        <v>27</v>
      </c>
      <c r="F98" t="s">
        <v>219</v>
      </c>
      <c r="G98" t="s">
        <v>419</v>
      </c>
      <c r="M98" t="s">
        <v>8</v>
      </c>
      <c r="N98">
        <v>1000000192</v>
      </c>
      <c r="O98">
        <v>75000</v>
      </c>
      <c r="P98" t="s">
        <v>18</v>
      </c>
      <c r="Q98" t="s">
        <v>28</v>
      </c>
      <c r="R98" t="s">
        <v>220</v>
      </c>
      <c r="S98" t="s">
        <v>420</v>
      </c>
    </row>
    <row r="99" spans="1:19" x14ac:dyDescent="0.3">
      <c r="A99" t="s">
        <v>9</v>
      </c>
      <c r="B99">
        <v>1000000193</v>
      </c>
      <c r="C99">
        <v>120000</v>
      </c>
      <c r="D99" t="s">
        <v>19</v>
      </c>
      <c r="E99" t="s">
        <v>27</v>
      </c>
      <c r="F99" t="s">
        <v>221</v>
      </c>
      <c r="G99" t="s">
        <v>421</v>
      </c>
      <c r="M99" t="s">
        <v>10</v>
      </c>
      <c r="N99">
        <v>1000000194</v>
      </c>
      <c r="O99">
        <v>45000</v>
      </c>
      <c r="P99" t="s">
        <v>20</v>
      </c>
      <c r="Q99" t="s">
        <v>28</v>
      </c>
      <c r="R99" t="s">
        <v>222</v>
      </c>
      <c r="S99" t="s">
        <v>422</v>
      </c>
    </row>
    <row r="100" spans="1:19" x14ac:dyDescent="0.3">
      <c r="A100" t="s">
        <v>11</v>
      </c>
      <c r="B100">
        <v>1000000195</v>
      </c>
      <c r="C100">
        <v>98000</v>
      </c>
      <c r="D100" t="s">
        <v>21</v>
      </c>
      <c r="E100" t="s">
        <v>27</v>
      </c>
      <c r="F100" t="s">
        <v>223</v>
      </c>
      <c r="G100" t="s">
        <v>423</v>
      </c>
      <c r="M100" t="s">
        <v>12</v>
      </c>
      <c r="N100">
        <v>1000000196</v>
      </c>
      <c r="O100">
        <v>67000</v>
      </c>
      <c r="P100" t="s">
        <v>22</v>
      </c>
      <c r="Q100" t="s">
        <v>28</v>
      </c>
      <c r="R100" t="s">
        <v>224</v>
      </c>
      <c r="S100" t="s">
        <v>424</v>
      </c>
    </row>
    <row r="101" spans="1:19" x14ac:dyDescent="0.3">
      <c r="A101" t="s">
        <v>13</v>
      </c>
      <c r="B101">
        <v>1000000197</v>
      </c>
      <c r="C101">
        <v>56000</v>
      </c>
      <c r="D101" t="s">
        <v>23</v>
      </c>
      <c r="E101" t="s">
        <v>27</v>
      </c>
      <c r="F101" t="s">
        <v>225</v>
      </c>
      <c r="G101" t="s">
        <v>425</v>
      </c>
      <c r="M101" t="s">
        <v>14</v>
      </c>
      <c r="N101">
        <v>1000000198</v>
      </c>
      <c r="O101">
        <v>89000</v>
      </c>
      <c r="P101" t="s">
        <v>24</v>
      </c>
      <c r="Q101" t="s">
        <v>28</v>
      </c>
      <c r="R101" t="s">
        <v>226</v>
      </c>
      <c r="S101" t="s">
        <v>426</v>
      </c>
    </row>
    <row r="102" spans="1:19" x14ac:dyDescent="0.3">
      <c r="A102" t="s">
        <v>15</v>
      </c>
      <c r="B102">
        <v>1000000199</v>
      </c>
      <c r="C102">
        <v>46000</v>
      </c>
      <c r="D102" t="s">
        <v>25</v>
      </c>
      <c r="E102" t="s">
        <v>27</v>
      </c>
      <c r="F102" t="s">
        <v>227</v>
      </c>
      <c r="G102" t="s">
        <v>427</v>
      </c>
      <c r="M102" t="s">
        <v>16</v>
      </c>
      <c r="N102">
        <v>1000000200</v>
      </c>
      <c r="O102">
        <v>77000</v>
      </c>
      <c r="P102" t="s">
        <v>26</v>
      </c>
      <c r="Q102" t="s">
        <v>28</v>
      </c>
      <c r="R102" t="s">
        <v>228</v>
      </c>
      <c r="S102" t="s">
        <v>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F07B0-DFAF-48AA-B7A5-F06C75858AF8}">
  <dimension ref="A1:H17"/>
  <sheetViews>
    <sheetView zoomScale="130" zoomScaleNormal="130" workbookViewId="0">
      <selection activeCell="I10" sqref="I10"/>
    </sheetView>
  </sheetViews>
  <sheetFormatPr defaultRowHeight="14.4" x14ac:dyDescent="0.3"/>
  <cols>
    <col min="1" max="1" width="18.88671875" customWidth="1"/>
    <col min="2" max="2" width="12.33203125" bestFit="1" customWidth="1"/>
    <col min="3" max="3" width="15" bestFit="1" customWidth="1"/>
    <col min="7" max="8" width="15.77734375" customWidth="1"/>
  </cols>
  <sheetData>
    <row r="1" spans="1:8" x14ac:dyDescent="0.3">
      <c r="A1" s="3" t="s">
        <v>432</v>
      </c>
    </row>
    <row r="2" spans="1:8" x14ac:dyDescent="0.3">
      <c r="A2" s="1" t="s">
        <v>0</v>
      </c>
      <c r="B2" s="1" t="s">
        <v>2</v>
      </c>
      <c r="C2" s="3" t="s">
        <v>431</v>
      </c>
      <c r="G2" s="1" t="s">
        <v>2</v>
      </c>
      <c r="H2" s="3" t="s">
        <v>431</v>
      </c>
    </row>
    <row r="3" spans="1:8" x14ac:dyDescent="0.3">
      <c r="A3" t="s">
        <v>7</v>
      </c>
      <c r="B3">
        <v>45000</v>
      </c>
      <c r="C3">
        <f>_xlfn.XLOOKUP(B3,$G$2:$G$8,$H$2:$H$8,,-1)</f>
        <v>0</v>
      </c>
      <c r="G3">
        <v>0</v>
      </c>
      <c r="H3">
        <v>0</v>
      </c>
    </row>
    <row r="4" spans="1:8" x14ac:dyDescent="0.3">
      <c r="A4" t="s">
        <v>9</v>
      </c>
      <c r="B4">
        <v>120000</v>
      </c>
      <c r="C4">
        <f t="shared" ref="C4:C17" si="0">_xlfn.XLOOKUP(B4,$G$2:$G$8,$H$2:$H$8,,-1)</f>
        <v>150000</v>
      </c>
      <c r="G4">
        <v>50000</v>
      </c>
      <c r="H4">
        <v>80000</v>
      </c>
    </row>
    <row r="5" spans="1:8" x14ac:dyDescent="0.3">
      <c r="A5" t="s">
        <v>11</v>
      </c>
      <c r="B5">
        <v>98000</v>
      </c>
      <c r="C5">
        <f t="shared" si="0"/>
        <v>80000</v>
      </c>
      <c r="G5">
        <v>100000</v>
      </c>
      <c r="H5">
        <v>150000</v>
      </c>
    </row>
    <row r="6" spans="1:8" x14ac:dyDescent="0.3">
      <c r="A6" t="s">
        <v>13</v>
      </c>
      <c r="B6">
        <v>56000</v>
      </c>
      <c r="C6">
        <f t="shared" si="0"/>
        <v>80000</v>
      </c>
      <c r="G6">
        <v>150000</v>
      </c>
      <c r="H6">
        <v>300000</v>
      </c>
    </row>
    <row r="7" spans="1:8" x14ac:dyDescent="0.3">
      <c r="A7" t="s">
        <v>15</v>
      </c>
      <c r="B7">
        <v>46000</v>
      </c>
      <c r="C7">
        <f t="shared" si="0"/>
        <v>0</v>
      </c>
      <c r="G7">
        <v>200000</v>
      </c>
      <c r="H7">
        <v>400000</v>
      </c>
    </row>
    <row r="8" spans="1:8" x14ac:dyDescent="0.3">
      <c r="A8" t="s">
        <v>434</v>
      </c>
      <c r="B8">
        <v>50000</v>
      </c>
      <c r="C8">
        <f t="shared" si="0"/>
        <v>80000</v>
      </c>
      <c r="G8">
        <v>300000</v>
      </c>
      <c r="H8">
        <v>500000</v>
      </c>
    </row>
    <row r="9" spans="1:8" x14ac:dyDescent="0.3">
      <c r="A9" t="s">
        <v>435</v>
      </c>
      <c r="B9">
        <v>120000</v>
      </c>
      <c r="C9">
        <f t="shared" si="0"/>
        <v>150000</v>
      </c>
      <c r="G9" t="s">
        <v>433</v>
      </c>
    </row>
    <row r="10" spans="1:8" x14ac:dyDescent="0.3">
      <c r="A10" t="s">
        <v>436</v>
      </c>
      <c r="B10">
        <v>50000</v>
      </c>
      <c r="C10">
        <f t="shared" si="0"/>
        <v>80000</v>
      </c>
      <c r="G10" s="1" t="s">
        <v>0</v>
      </c>
      <c r="H10" s="1" t="s">
        <v>2</v>
      </c>
    </row>
    <row r="11" spans="1:8" x14ac:dyDescent="0.3">
      <c r="A11" t="s">
        <v>437</v>
      </c>
      <c r="B11">
        <v>56000</v>
      </c>
      <c r="C11">
        <f t="shared" si="0"/>
        <v>80000</v>
      </c>
      <c r="G11" t="s">
        <v>444</v>
      </c>
      <c r="H11">
        <f>_xlfn.XLOOKUP("*"&amp;G11&amp;"*",A2:A17,B2:B17,,2,1)</f>
        <v>50000</v>
      </c>
    </row>
    <row r="12" spans="1:8" x14ac:dyDescent="0.3">
      <c r="A12" t="s">
        <v>438</v>
      </c>
      <c r="B12">
        <v>46000</v>
      </c>
      <c r="C12">
        <f t="shared" si="0"/>
        <v>0</v>
      </c>
    </row>
    <row r="13" spans="1:8" x14ac:dyDescent="0.3">
      <c r="A13" t="s">
        <v>439</v>
      </c>
      <c r="B13">
        <v>50000</v>
      </c>
      <c r="C13">
        <f t="shared" si="0"/>
        <v>80000</v>
      </c>
    </row>
    <row r="14" spans="1:8" x14ac:dyDescent="0.3">
      <c r="A14" t="s">
        <v>440</v>
      </c>
      <c r="B14">
        <v>120000</v>
      </c>
      <c r="C14">
        <f t="shared" si="0"/>
        <v>150000</v>
      </c>
    </row>
    <row r="15" spans="1:8" x14ac:dyDescent="0.3">
      <c r="A15" t="s">
        <v>441</v>
      </c>
      <c r="B15">
        <v>220000</v>
      </c>
      <c r="C15">
        <f t="shared" si="0"/>
        <v>400000</v>
      </c>
    </row>
    <row r="16" spans="1:8" x14ac:dyDescent="0.3">
      <c r="A16" t="s">
        <v>442</v>
      </c>
      <c r="B16">
        <v>56000</v>
      </c>
      <c r="C16">
        <f t="shared" si="0"/>
        <v>80000</v>
      </c>
    </row>
    <row r="17" spans="1:3" x14ac:dyDescent="0.3">
      <c r="A17" t="s">
        <v>443</v>
      </c>
      <c r="B17">
        <v>46000</v>
      </c>
      <c r="C17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F2F6F-E923-40CE-A102-F861F7F14072}">
  <dimension ref="A1:F16"/>
  <sheetViews>
    <sheetView zoomScale="145" zoomScaleNormal="145" workbookViewId="0">
      <selection activeCell="F5" sqref="F5"/>
    </sheetView>
  </sheetViews>
  <sheetFormatPr defaultRowHeight="14.4" x14ac:dyDescent="0.3"/>
  <cols>
    <col min="1" max="1" width="15.44140625" bestFit="1" customWidth="1"/>
    <col min="2" max="2" width="12.33203125" bestFit="1" customWidth="1"/>
    <col min="6" max="6" width="12.5546875" bestFit="1" customWidth="1"/>
  </cols>
  <sheetData>
    <row r="1" spans="1:6" x14ac:dyDescent="0.3">
      <c r="A1" s="1" t="s">
        <v>0</v>
      </c>
      <c r="B1" s="1" t="s">
        <v>2</v>
      </c>
    </row>
    <row r="2" spans="1:6" x14ac:dyDescent="0.3">
      <c r="A2" t="s">
        <v>7</v>
      </c>
      <c r="B2">
        <v>50000</v>
      </c>
    </row>
    <row r="3" spans="1:6" x14ac:dyDescent="0.3">
      <c r="A3" t="s">
        <v>9</v>
      </c>
      <c r="B3">
        <v>120000</v>
      </c>
    </row>
    <row r="4" spans="1:6" x14ac:dyDescent="0.3">
      <c r="A4" t="s">
        <v>11</v>
      </c>
      <c r="B4">
        <v>98000</v>
      </c>
      <c r="E4">
        <v>50000</v>
      </c>
      <c r="F4" t="str">
        <f>_xlfn.XLOOKUP(E4,B1:B16,A1:A16,,,-1)</f>
        <v>Sohail Khan</v>
      </c>
    </row>
    <row r="5" spans="1:6" x14ac:dyDescent="0.3">
      <c r="A5" t="s">
        <v>13</v>
      </c>
      <c r="B5">
        <v>56000</v>
      </c>
    </row>
    <row r="6" spans="1:6" x14ac:dyDescent="0.3">
      <c r="A6" t="s">
        <v>15</v>
      </c>
      <c r="B6">
        <v>46000</v>
      </c>
    </row>
    <row r="7" spans="1:6" x14ac:dyDescent="0.3">
      <c r="A7" t="s">
        <v>434</v>
      </c>
      <c r="B7">
        <v>50000</v>
      </c>
    </row>
    <row r="8" spans="1:6" x14ac:dyDescent="0.3">
      <c r="A8" t="s">
        <v>435</v>
      </c>
      <c r="B8">
        <v>120000</v>
      </c>
    </row>
    <row r="9" spans="1:6" x14ac:dyDescent="0.3">
      <c r="A9" t="s">
        <v>436</v>
      </c>
      <c r="B9">
        <v>98000</v>
      </c>
    </row>
    <row r="10" spans="1:6" x14ac:dyDescent="0.3">
      <c r="A10" t="s">
        <v>437</v>
      </c>
      <c r="B10">
        <v>56000</v>
      </c>
    </row>
    <row r="11" spans="1:6" x14ac:dyDescent="0.3">
      <c r="A11" t="s">
        <v>438</v>
      </c>
      <c r="B11">
        <v>46000</v>
      </c>
    </row>
    <row r="12" spans="1:6" x14ac:dyDescent="0.3">
      <c r="A12" t="s">
        <v>439</v>
      </c>
      <c r="B12">
        <v>50000</v>
      </c>
    </row>
    <row r="13" spans="1:6" x14ac:dyDescent="0.3">
      <c r="A13" t="s">
        <v>440</v>
      </c>
      <c r="B13">
        <v>120000</v>
      </c>
    </row>
    <row r="14" spans="1:6" x14ac:dyDescent="0.3">
      <c r="A14" t="s">
        <v>441</v>
      </c>
      <c r="B14">
        <v>220000</v>
      </c>
    </row>
    <row r="15" spans="1:6" x14ac:dyDescent="0.3">
      <c r="A15" t="s">
        <v>442</v>
      </c>
      <c r="B15">
        <v>56000</v>
      </c>
    </row>
    <row r="16" spans="1:6" x14ac:dyDescent="0.3">
      <c r="A16" t="s">
        <v>443</v>
      </c>
      <c r="B16">
        <v>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Xlookup 1</vt:lpstr>
      <vt:lpstr>Xlookup Dynamic</vt:lpstr>
      <vt:lpstr>Xlookup - IF NOT FOUND</vt:lpstr>
      <vt:lpstr>MatchType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2025-01-13T07:44:47Z</dcterms:created>
  <dcterms:modified xsi:type="dcterms:W3CDTF">2025-01-13T10:03:57Z</dcterms:modified>
</cp:coreProperties>
</file>