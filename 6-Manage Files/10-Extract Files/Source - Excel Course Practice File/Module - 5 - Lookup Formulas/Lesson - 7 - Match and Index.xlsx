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5 - Lookup Formulas\"/>
    </mc:Choice>
  </mc:AlternateContent>
  <xr:revisionPtr revIDLastSave="0" documentId="13_ncr:1_{0E2137EC-26F6-41EA-88B3-6AD51D6AA820}" xr6:coauthVersionLast="47" xr6:coauthVersionMax="47" xr10:uidLastSave="{00000000-0000-0000-0000-000000000000}"/>
  <bookViews>
    <workbookView xWindow="22932" yWindow="-108" windowWidth="23256" windowHeight="13176" activeTab="1" xr2:uid="{849C3E10-88BE-47D9-82AB-C890EDB6C969}"/>
  </bookViews>
  <sheets>
    <sheet name="Sourc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  <c r="E2" i="2" a="1"/>
  <c r="D2" i="2" a="1"/>
  <c r="D2" i="2" s="1"/>
  <c r="E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<sst xmlns="http://schemas.openxmlformats.org/spreadsheetml/2006/main" count="358" uniqueCount="101">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</sst>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B865-BCC9-4990-8E80-430D0E88864B}">
  <dimension ref="A1:S25"/>
  <sheetViews>
    <sheetView zoomScale="115" zoomScaleNormal="115" workbookViewId="0"/>
  </sheetViews>
  <sheetFormatPr defaultRowHeight="14.4" x14ac:dyDescent="0.3"/>
  <cols>
    <col min="1" max="1" width="10.88671875" bestFit="1" customWidth="1"/>
    <col min="4" max="4" width="13.6640625" bestFit="1" customWidth="1"/>
    <col min="6" max="6" width="20.33203125" bestFit="1" customWidth="1"/>
    <col min="7" max="7" width="14" bestFit="1" customWidth="1"/>
    <col min="11" max="11" width="12" bestFit="1" customWidth="1"/>
    <col min="12" max="12" width="16.44140625" bestFit="1" customWidth="1"/>
    <col min="13" max="13" width="14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55</v>
      </c>
      <c r="C2" t="s">
        <v>19</v>
      </c>
      <c r="D2" t="s">
        <v>55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27</v>
      </c>
      <c r="O2" t="s">
        <v>25</v>
      </c>
      <c r="P2" t="s">
        <v>25</v>
      </c>
      <c r="Q2">
        <v>14</v>
      </c>
      <c r="R2" t="s">
        <v>28</v>
      </c>
      <c r="S2" t="s">
        <v>29</v>
      </c>
    </row>
    <row r="3" spans="1:19" x14ac:dyDescent="0.3">
      <c r="A3">
        <v>2</v>
      </c>
      <c r="B3">
        <v>19</v>
      </c>
      <c r="C3" t="s">
        <v>19</v>
      </c>
      <c r="D3" t="s">
        <v>30</v>
      </c>
      <c r="E3" t="s">
        <v>20</v>
      </c>
      <c r="F3">
        <v>64</v>
      </c>
      <c r="G3" t="s">
        <v>31</v>
      </c>
      <c r="H3" t="s">
        <v>22</v>
      </c>
      <c r="I3" t="s">
        <v>32</v>
      </c>
      <c r="J3" t="s">
        <v>24</v>
      </c>
      <c r="K3">
        <v>3.1</v>
      </c>
      <c r="L3" t="s">
        <v>25</v>
      </c>
      <c r="M3" t="s">
        <v>33</v>
      </c>
      <c r="N3" t="s">
        <v>27</v>
      </c>
      <c r="O3" t="s">
        <v>25</v>
      </c>
      <c r="P3" t="s">
        <v>25</v>
      </c>
      <c r="Q3">
        <v>2</v>
      </c>
      <c r="R3" t="s">
        <v>34</v>
      </c>
      <c r="S3" t="s">
        <v>29</v>
      </c>
    </row>
    <row r="4" spans="1:19" x14ac:dyDescent="0.3">
      <c r="A4">
        <v>3</v>
      </c>
      <c r="B4">
        <v>50</v>
      </c>
      <c r="C4" t="s">
        <v>19</v>
      </c>
      <c r="D4" t="s">
        <v>35</v>
      </c>
      <c r="E4" t="s">
        <v>20</v>
      </c>
      <c r="F4">
        <v>73</v>
      </c>
      <c r="G4" t="s">
        <v>36</v>
      </c>
      <c r="H4" t="s">
        <v>37</v>
      </c>
      <c r="I4" t="s">
        <v>32</v>
      </c>
      <c r="J4" t="s">
        <v>38</v>
      </c>
      <c r="K4">
        <v>3.1</v>
      </c>
      <c r="L4" t="s">
        <v>25</v>
      </c>
      <c r="M4" t="s">
        <v>34</v>
      </c>
      <c r="N4" t="s">
        <v>39</v>
      </c>
      <c r="O4" t="s">
        <v>25</v>
      </c>
      <c r="P4" t="s">
        <v>25</v>
      </c>
      <c r="Q4">
        <v>23</v>
      </c>
      <c r="R4" t="s">
        <v>26</v>
      </c>
      <c r="S4" t="s">
        <v>40</v>
      </c>
    </row>
    <row r="5" spans="1:19" x14ac:dyDescent="0.3">
      <c r="A5">
        <v>4</v>
      </c>
      <c r="B5">
        <v>21</v>
      </c>
      <c r="C5" t="s">
        <v>19</v>
      </c>
      <c r="D5" t="s">
        <v>41</v>
      </c>
      <c r="E5" t="s">
        <v>42</v>
      </c>
      <c r="F5">
        <v>90</v>
      </c>
      <c r="G5" t="s">
        <v>43</v>
      </c>
      <c r="H5" t="s">
        <v>44</v>
      </c>
      <c r="I5" t="s">
        <v>32</v>
      </c>
      <c r="J5" t="s">
        <v>38</v>
      </c>
      <c r="K5">
        <v>3.5</v>
      </c>
      <c r="L5" t="s">
        <v>25</v>
      </c>
      <c r="M5" t="s">
        <v>45</v>
      </c>
      <c r="N5" t="s">
        <v>46</v>
      </c>
      <c r="O5" t="s">
        <v>25</v>
      </c>
      <c r="P5" t="s">
        <v>25</v>
      </c>
      <c r="Q5">
        <v>49</v>
      </c>
      <c r="R5" t="s">
        <v>45</v>
      </c>
      <c r="S5" t="s">
        <v>40</v>
      </c>
    </row>
    <row r="6" spans="1:19" x14ac:dyDescent="0.3">
      <c r="A6">
        <v>5</v>
      </c>
      <c r="B6">
        <v>45</v>
      </c>
      <c r="C6" t="s">
        <v>19</v>
      </c>
      <c r="D6" t="s">
        <v>55</v>
      </c>
      <c r="E6" t="s">
        <v>20</v>
      </c>
      <c r="F6">
        <v>49</v>
      </c>
      <c r="G6" t="s">
        <v>47</v>
      </c>
      <c r="H6" t="s">
        <v>44</v>
      </c>
      <c r="I6" t="s">
        <v>48</v>
      </c>
      <c r="J6" t="s">
        <v>38</v>
      </c>
      <c r="K6">
        <v>2.7</v>
      </c>
      <c r="L6" t="s">
        <v>25</v>
      </c>
      <c r="M6" t="s">
        <v>34</v>
      </c>
      <c r="N6" t="s">
        <v>39</v>
      </c>
      <c r="O6" t="s">
        <v>25</v>
      </c>
      <c r="P6" t="s">
        <v>25</v>
      </c>
      <c r="Q6">
        <v>31</v>
      </c>
      <c r="R6" t="s">
        <v>45</v>
      </c>
      <c r="S6" t="s">
        <v>49</v>
      </c>
    </row>
    <row r="7" spans="1:19" x14ac:dyDescent="0.3">
      <c r="A7">
        <v>6</v>
      </c>
      <c r="B7">
        <v>46</v>
      </c>
      <c r="C7" t="s">
        <v>19</v>
      </c>
      <c r="D7" t="s">
        <v>50</v>
      </c>
      <c r="E7" t="s">
        <v>42</v>
      </c>
      <c r="F7">
        <v>20</v>
      </c>
      <c r="G7" t="s">
        <v>51</v>
      </c>
      <c r="H7" t="s">
        <v>44</v>
      </c>
      <c r="I7" t="s">
        <v>52</v>
      </c>
      <c r="J7" t="s">
        <v>53</v>
      </c>
      <c r="K7">
        <v>2.9</v>
      </c>
      <c r="L7" t="s">
        <v>25</v>
      </c>
      <c r="M7" t="s">
        <v>28</v>
      </c>
      <c r="N7" t="s">
        <v>54</v>
      </c>
      <c r="O7" t="s">
        <v>25</v>
      </c>
      <c r="P7" t="s">
        <v>25</v>
      </c>
      <c r="Q7">
        <v>14</v>
      </c>
      <c r="R7" t="s">
        <v>28</v>
      </c>
      <c r="S7" t="s">
        <v>40</v>
      </c>
    </row>
    <row r="8" spans="1:19" x14ac:dyDescent="0.3">
      <c r="A8">
        <v>7</v>
      </c>
      <c r="B8">
        <v>63</v>
      </c>
      <c r="C8" t="s">
        <v>19</v>
      </c>
      <c r="D8" t="s">
        <v>55</v>
      </c>
      <c r="E8" t="s">
        <v>20</v>
      </c>
      <c r="F8">
        <v>85</v>
      </c>
      <c r="G8" t="s">
        <v>56</v>
      </c>
      <c r="H8" t="s">
        <v>44</v>
      </c>
      <c r="I8" t="s">
        <v>23</v>
      </c>
      <c r="J8" t="s">
        <v>57</v>
      </c>
      <c r="K8">
        <v>3.2</v>
      </c>
      <c r="L8" t="s">
        <v>25</v>
      </c>
      <c r="M8" t="s">
        <v>58</v>
      </c>
      <c r="N8" t="s">
        <v>39</v>
      </c>
      <c r="O8" t="s">
        <v>25</v>
      </c>
      <c r="P8" t="s">
        <v>25</v>
      </c>
      <c r="Q8">
        <v>49</v>
      </c>
      <c r="R8" t="s">
        <v>34</v>
      </c>
      <c r="S8" t="s">
        <v>59</v>
      </c>
    </row>
    <row r="9" spans="1:19" x14ac:dyDescent="0.3">
      <c r="A9">
        <v>8</v>
      </c>
      <c r="B9">
        <v>27</v>
      </c>
      <c r="C9" t="s">
        <v>19</v>
      </c>
      <c r="D9" t="s">
        <v>60</v>
      </c>
      <c r="E9" t="s">
        <v>20</v>
      </c>
      <c r="F9">
        <v>34</v>
      </c>
      <c r="G9" t="s">
        <v>61</v>
      </c>
      <c r="H9" t="s">
        <v>22</v>
      </c>
      <c r="I9" t="s">
        <v>62</v>
      </c>
      <c r="J9" t="s">
        <v>24</v>
      </c>
      <c r="K9">
        <v>3.2</v>
      </c>
      <c r="L9" t="s">
        <v>25</v>
      </c>
      <c r="M9" t="s">
        <v>58</v>
      </c>
      <c r="N9" t="s">
        <v>39</v>
      </c>
      <c r="O9" t="s">
        <v>25</v>
      </c>
      <c r="P9" t="s">
        <v>25</v>
      </c>
      <c r="Q9">
        <v>19</v>
      </c>
      <c r="R9" t="s">
        <v>26</v>
      </c>
      <c r="S9" t="s">
        <v>40</v>
      </c>
    </row>
    <row r="10" spans="1:19" x14ac:dyDescent="0.3">
      <c r="A10">
        <v>9</v>
      </c>
      <c r="B10">
        <v>26</v>
      </c>
      <c r="C10" t="s">
        <v>19</v>
      </c>
      <c r="D10" t="s">
        <v>63</v>
      </c>
      <c r="E10" t="s">
        <v>64</v>
      </c>
      <c r="F10">
        <v>97</v>
      </c>
      <c r="G10" t="s">
        <v>65</v>
      </c>
      <c r="H10" t="s">
        <v>22</v>
      </c>
      <c r="I10" t="s">
        <v>66</v>
      </c>
      <c r="J10" t="s">
        <v>53</v>
      </c>
      <c r="K10">
        <v>2.6</v>
      </c>
      <c r="L10" t="s">
        <v>25</v>
      </c>
      <c r="M10" t="s">
        <v>28</v>
      </c>
      <c r="N10" t="s">
        <v>27</v>
      </c>
      <c r="O10" t="s">
        <v>25</v>
      </c>
      <c r="P10" t="s">
        <v>25</v>
      </c>
      <c r="Q10">
        <v>8</v>
      </c>
      <c r="R10" t="s">
        <v>28</v>
      </c>
      <c r="S10" t="s">
        <v>49</v>
      </c>
    </row>
    <row r="11" spans="1:19" x14ac:dyDescent="0.3">
      <c r="A11">
        <v>10</v>
      </c>
      <c r="B11">
        <v>57</v>
      </c>
      <c r="C11" t="s">
        <v>19</v>
      </c>
      <c r="D11" t="s">
        <v>67</v>
      </c>
      <c r="E11" t="s">
        <v>68</v>
      </c>
      <c r="F11">
        <v>31</v>
      </c>
      <c r="G11" t="s">
        <v>69</v>
      </c>
      <c r="H11" t="s">
        <v>44</v>
      </c>
      <c r="I11" t="s">
        <v>70</v>
      </c>
      <c r="J11" t="s">
        <v>38</v>
      </c>
      <c r="K11">
        <v>4.8</v>
      </c>
      <c r="L11" t="s">
        <v>25</v>
      </c>
      <c r="M11" t="s">
        <v>45</v>
      </c>
      <c r="N11" t="s">
        <v>71</v>
      </c>
      <c r="O11" t="s">
        <v>25</v>
      </c>
      <c r="P11" t="s">
        <v>25</v>
      </c>
      <c r="Q11">
        <v>4</v>
      </c>
      <c r="R11" t="s">
        <v>34</v>
      </c>
      <c r="S11" t="s">
        <v>59</v>
      </c>
    </row>
    <row r="12" spans="1:19" x14ac:dyDescent="0.3">
      <c r="A12">
        <v>11</v>
      </c>
      <c r="B12">
        <v>53</v>
      </c>
      <c r="C12" t="s">
        <v>19</v>
      </c>
      <c r="D12" t="s">
        <v>72</v>
      </c>
      <c r="E12" t="s">
        <v>42</v>
      </c>
      <c r="F12">
        <v>34</v>
      </c>
      <c r="G12" t="s">
        <v>73</v>
      </c>
      <c r="H12" t="s">
        <v>22</v>
      </c>
      <c r="I12" t="s">
        <v>74</v>
      </c>
      <c r="J12" t="s">
        <v>57</v>
      </c>
      <c r="K12">
        <v>4.0999999999999996</v>
      </c>
      <c r="L12" t="s">
        <v>25</v>
      </c>
      <c r="M12" t="s">
        <v>26</v>
      </c>
      <c r="N12" t="s">
        <v>75</v>
      </c>
      <c r="O12" t="s">
        <v>25</v>
      </c>
      <c r="P12" t="s">
        <v>25</v>
      </c>
      <c r="Q12">
        <v>26</v>
      </c>
      <c r="R12" t="s">
        <v>33</v>
      </c>
      <c r="S12" t="s">
        <v>76</v>
      </c>
    </row>
    <row r="13" spans="1:19" x14ac:dyDescent="0.3">
      <c r="A13">
        <v>12</v>
      </c>
      <c r="B13">
        <v>30</v>
      </c>
      <c r="C13" t="s">
        <v>19</v>
      </c>
      <c r="D13" t="s">
        <v>60</v>
      </c>
      <c r="E13" t="s">
        <v>20</v>
      </c>
      <c r="F13">
        <v>68</v>
      </c>
      <c r="G13" t="s">
        <v>77</v>
      </c>
      <c r="H13" t="s">
        <v>37</v>
      </c>
      <c r="I13" t="s">
        <v>78</v>
      </c>
      <c r="J13" t="s">
        <v>24</v>
      </c>
      <c r="K13">
        <v>4.9000000000000004</v>
      </c>
      <c r="L13" t="s">
        <v>25</v>
      </c>
      <c r="M13" t="s">
        <v>45</v>
      </c>
      <c r="N13" t="s">
        <v>75</v>
      </c>
      <c r="O13" t="s">
        <v>25</v>
      </c>
      <c r="P13" t="s">
        <v>25</v>
      </c>
      <c r="Q13">
        <v>10</v>
      </c>
      <c r="R13" t="s">
        <v>33</v>
      </c>
      <c r="S13" t="s">
        <v>29</v>
      </c>
    </row>
    <row r="14" spans="1:19" x14ac:dyDescent="0.3">
      <c r="A14">
        <v>13</v>
      </c>
      <c r="B14">
        <v>61</v>
      </c>
      <c r="C14" t="s">
        <v>19</v>
      </c>
      <c r="D14" t="s">
        <v>63</v>
      </c>
      <c r="E14" t="s">
        <v>64</v>
      </c>
      <c r="F14">
        <v>72</v>
      </c>
      <c r="G14" t="s">
        <v>79</v>
      </c>
      <c r="H14" t="s">
        <v>44</v>
      </c>
      <c r="I14" t="s">
        <v>80</v>
      </c>
      <c r="J14" t="s">
        <v>24</v>
      </c>
      <c r="K14">
        <v>4.5</v>
      </c>
      <c r="L14" t="s">
        <v>25</v>
      </c>
      <c r="M14" t="s">
        <v>45</v>
      </c>
      <c r="N14" t="s">
        <v>27</v>
      </c>
      <c r="O14" t="s">
        <v>25</v>
      </c>
      <c r="P14" t="s">
        <v>25</v>
      </c>
      <c r="Q14">
        <v>37</v>
      </c>
      <c r="R14" t="s">
        <v>28</v>
      </c>
      <c r="S14" t="s">
        <v>29</v>
      </c>
    </row>
    <row r="15" spans="1:19" x14ac:dyDescent="0.3">
      <c r="A15">
        <v>14</v>
      </c>
      <c r="B15">
        <v>65</v>
      </c>
      <c r="C15" t="s">
        <v>19</v>
      </c>
      <c r="D15" t="s">
        <v>81</v>
      </c>
      <c r="E15" t="s">
        <v>20</v>
      </c>
      <c r="F15">
        <v>51</v>
      </c>
      <c r="G15" t="s">
        <v>82</v>
      </c>
      <c r="H15" t="s">
        <v>44</v>
      </c>
      <c r="I15" t="s">
        <v>83</v>
      </c>
      <c r="J15" t="s">
        <v>38</v>
      </c>
      <c r="K15">
        <v>4.7</v>
      </c>
      <c r="L15" t="s">
        <v>25</v>
      </c>
      <c r="M15" t="s">
        <v>58</v>
      </c>
      <c r="N15" t="s">
        <v>27</v>
      </c>
      <c r="O15" t="s">
        <v>25</v>
      </c>
      <c r="P15" t="s">
        <v>25</v>
      </c>
      <c r="Q15">
        <v>31</v>
      </c>
      <c r="R15" t="s">
        <v>45</v>
      </c>
      <c r="S15" t="s">
        <v>40</v>
      </c>
    </row>
    <row r="16" spans="1:19" x14ac:dyDescent="0.3">
      <c r="A16">
        <v>15</v>
      </c>
      <c r="B16">
        <v>64</v>
      </c>
      <c r="C16" t="s">
        <v>19</v>
      </c>
      <c r="D16" t="s">
        <v>63</v>
      </c>
      <c r="E16" t="s">
        <v>64</v>
      </c>
      <c r="F16">
        <v>53</v>
      </c>
      <c r="G16" t="s">
        <v>84</v>
      </c>
      <c r="H16" t="s">
        <v>22</v>
      </c>
      <c r="I16" t="s">
        <v>85</v>
      </c>
      <c r="J16" t="s">
        <v>24</v>
      </c>
      <c r="K16">
        <v>4.7</v>
      </c>
      <c r="L16" t="s">
        <v>25</v>
      </c>
      <c r="M16" t="s">
        <v>45</v>
      </c>
      <c r="N16" t="s">
        <v>39</v>
      </c>
      <c r="O16" t="s">
        <v>25</v>
      </c>
      <c r="P16" t="s">
        <v>25</v>
      </c>
      <c r="Q16">
        <v>34</v>
      </c>
      <c r="R16" t="s">
        <v>58</v>
      </c>
      <c r="S16" t="s">
        <v>40</v>
      </c>
    </row>
    <row r="17" spans="1:19" x14ac:dyDescent="0.3">
      <c r="A17">
        <v>16</v>
      </c>
      <c r="B17">
        <v>64</v>
      </c>
      <c r="C17" t="s">
        <v>19</v>
      </c>
      <c r="D17" t="s">
        <v>86</v>
      </c>
      <c r="E17" t="s">
        <v>20</v>
      </c>
      <c r="F17">
        <v>81</v>
      </c>
      <c r="G17" t="s">
        <v>43</v>
      </c>
      <c r="H17" t="s">
        <v>44</v>
      </c>
      <c r="I17" t="s">
        <v>85</v>
      </c>
      <c r="J17" t="s">
        <v>24</v>
      </c>
      <c r="K17">
        <v>2.8</v>
      </c>
      <c r="L17" t="s">
        <v>25</v>
      </c>
      <c r="M17" t="s">
        <v>26</v>
      </c>
      <c r="N17" t="s">
        <v>75</v>
      </c>
      <c r="O17" t="s">
        <v>25</v>
      </c>
      <c r="P17" t="s">
        <v>25</v>
      </c>
      <c r="Q17">
        <v>8</v>
      </c>
      <c r="R17" t="s">
        <v>45</v>
      </c>
      <c r="S17" t="s">
        <v>87</v>
      </c>
    </row>
    <row r="18" spans="1:19" x14ac:dyDescent="0.3">
      <c r="A18">
        <v>17</v>
      </c>
      <c r="B18">
        <v>25</v>
      </c>
      <c r="C18" t="s">
        <v>19</v>
      </c>
      <c r="D18" t="s">
        <v>88</v>
      </c>
      <c r="E18" t="s">
        <v>68</v>
      </c>
      <c r="F18">
        <v>36</v>
      </c>
      <c r="G18" t="s">
        <v>89</v>
      </c>
      <c r="H18" t="s">
        <v>37</v>
      </c>
      <c r="I18" t="s">
        <v>23</v>
      </c>
      <c r="J18" t="s">
        <v>38</v>
      </c>
      <c r="K18">
        <v>4.0999999999999996</v>
      </c>
      <c r="L18" t="s">
        <v>25</v>
      </c>
      <c r="M18" t="s">
        <v>28</v>
      </c>
      <c r="N18" t="s">
        <v>46</v>
      </c>
      <c r="O18" t="s">
        <v>25</v>
      </c>
      <c r="P18" t="s">
        <v>25</v>
      </c>
      <c r="Q18">
        <v>44</v>
      </c>
      <c r="R18" t="s">
        <v>58</v>
      </c>
      <c r="S18" t="s">
        <v>76</v>
      </c>
    </row>
    <row r="19" spans="1:19" x14ac:dyDescent="0.3">
      <c r="A19">
        <v>18</v>
      </c>
      <c r="B19">
        <v>53</v>
      </c>
      <c r="C19" t="s">
        <v>19</v>
      </c>
      <c r="D19" t="s">
        <v>81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58</v>
      </c>
      <c r="N19" t="s">
        <v>71</v>
      </c>
      <c r="O19" t="s">
        <v>25</v>
      </c>
      <c r="P19" t="s">
        <v>25</v>
      </c>
      <c r="Q19">
        <v>36</v>
      </c>
      <c r="R19" t="s">
        <v>28</v>
      </c>
      <c r="S19" t="s">
        <v>59</v>
      </c>
    </row>
    <row r="20" spans="1:19" x14ac:dyDescent="0.3">
      <c r="A20">
        <v>19</v>
      </c>
      <c r="B20">
        <v>52</v>
      </c>
      <c r="C20" t="s">
        <v>19</v>
      </c>
      <c r="D20" t="s">
        <v>30</v>
      </c>
      <c r="E20" t="s">
        <v>20</v>
      </c>
      <c r="F20">
        <v>48</v>
      </c>
      <c r="G20" t="s">
        <v>56</v>
      </c>
      <c r="H20" t="s">
        <v>37</v>
      </c>
      <c r="I20" t="s">
        <v>93</v>
      </c>
      <c r="J20" t="s">
        <v>53</v>
      </c>
      <c r="K20">
        <v>4.5999999999999996</v>
      </c>
      <c r="L20" t="s">
        <v>25</v>
      </c>
      <c r="M20" t="s">
        <v>33</v>
      </c>
      <c r="N20" t="s">
        <v>39</v>
      </c>
      <c r="O20" t="s">
        <v>25</v>
      </c>
      <c r="P20" t="s">
        <v>25</v>
      </c>
      <c r="Q20">
        <v>17</v>
      </c>
      <c r="R20" t="s">
        <v>34</v>
      </c>
      <c r="S20" t="s">
        <v>40</v>
      </c>
    </row>
    <row r="21" spans="1:19" x14ac:dyDescent="0.3">
      <c r="A21">
        <v>20</v>
      </c>
      <c r="B21">
        <v>66</v>
      </c>
      <c r="C21" t="s">
        <v>19</v>
      </c>
      <c r="D21" t="s">
        <v>94</v>
      </c>
      <c r="E21" t="s">
        <v>20</v>
      </c>
      <c r="F21">
        <v>90</v>
      </c>
      <c r="G21" t="s">
        <v>43</v>
      </c>
      <c r="H21" t="s">
        <v>44</v>
      </c>
      <c r="I21" t="s">
        <v>95</v>
      </c>
      <c r="J21" t="s">
        <v>53</v>
      </c>
      <c r="K21">
        <v>3.3</v>
      </c>
      <c r="L21" t="s">
        <v>25</v>
      </c>
      <c r="M21" t="s">
        <v>28</v>
      </c>
      <c r="N21" t="s">
        <v>54</v>
      </c>
      <c r="O21" t="s">
        <v>25</v>
      </c>
      <c r="P21" t="s">
        <v>25</v>
      </c>
      <c r="Q21">
        <v>46</v>
      </c>
      <c r="R21" t="s">
        <v>58</v>
      </c>
      <c r="S21" t="s">
        <v>76</v>
      </c>
    </row>
    <row r="22" spans="1:19" x14ac:dyDescent="0.3">
      <c r="A22">
        <v>21</v>
      </c>
      <c r="B22">
        <v>21</v>
      </c>
      <c r="C22" t="s">
        <v>19</v>
      </c>
      <c r="D22" t="s">
        <v>94</v>
      </c>
      <c r="E22" t="s">
        <v>20</v>
      </c>
      <c r="F22">
        <v>51</v>
      </c>
      <c r="G22" t="s">
        <v>61</v>
      </c>
      <c r="H22" t="s">
        <v>44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27</v>
      </c>
      <c r="O22" t="s">
        <v>25</v>
      </c>
      <c r="P22" t="s">
        <v>25</v>
      </c>
      <c r="Q22">
        <v>50</v>
      </c>
      <c r="R22" t="s">
        <v>34</v>
      </c>
      <c r="S22" t="s">
        <v>96</v>
      </c>
    </row>
    <row r="23" spans="1:19" x14ac:dyDescent="0.3">
      <c r="A23">
        <v>22</v>
      </c>
      <c r="B23">
        <v>31</v>
      </c>
      <c r="C23" t="s">
        <v>19</v>
      </c>
      <c r="D23" t="s">
        <v>94</v>
      </c>
      <c r="E23" t="s">
        <v>20</v>
      </c>
      <c r="F23">
        <v>62</v>
      </c>
      <c r="G23" t="s">
        <v>97</v>
      </c>
      <c r="H23" t="s">
        <v>44</v>
      </c>
      <c r="I23" t="s">
        <v>62</v>
      </c>
      <c r="J23" t="s">
        <v>24</v>
      </c>
      <c r="K23">
        <v>4.0999999999999996</v>
      </c>
      <c r="L23" t="s">
        <v>25</v>
      </c>
      <c r="M23" t="s">
        <v>26</v>
      </c>
      <c r="N23" t="s">
        <v>75</v>
      </c>
      <c r="O23" t="s">
        <v>25</v>
      </c>
      <c r="P23" t="s">
        <v>25</v>
      </c>
      <c r="Q23">
        <v>22</v>
      </c>
      <c r="R23" t="s">
        <v>58</v>
      </c>
      <c r="S23" t="s">
        <v>59</v>
      </c>
    </row>
    <row r="24" spans="1:19" x14ac:dyDescent="0.3">
      <c r="A24">
        <v>23</v>
      </c>
      <c r="B24">
        <v>56</v>
      </c>
      <c r="C24" t="s">
        <v>19</v>
      </c>
      <c r="D24" t="s">
        <v>94</v>
      </c>
      <c r="E24" t="s">
        <v>20</v>
      </c>
      <c r="F24">
        <v>37</v>
      </c>
      <c r="G24" t="s">
        <v>98</v>
      </c>
      <c r="H24" t="s">
        <v>44</v>
      </c>
      <c r="I24" t="s">
        <v>99</v>
      </c>
      <c r="J24" t="s">
        <v>53</v>
      </c>
      <c r="K24">
        <v>3.2</v>
      </c>
      <c r="L24" t="s">
        <v>25</v>
      </c>
      <c r="M24" t="s">
        <v>34</v>
      </c>
      <c r="N24" t="s">
        <v>75</v>
      </c>
      <c r="O24" t="s">
        <v>25</v>
      </c>
      <c r="P24" t="s">
        <v>25</v>
      </c>
      <c r="Q24">
        <v>32</v>
      </c>
      <c r="R24" t="s">
        <v>58</v>
      </c>
      <c r="S24" t="s">
        <v>49</v>
      </c>
    </row>
    <row r="25" spans="1:19" x14ac:dyDescent="0.3">
      <c r="A25">
        <v>24</v>
      </c>
      <c r="B25">
        <v>31</v>
      </c>
      <c r="C25" t="s">
        <v>19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52</v>
      </c>
      <c r="J25" t="s">
        <v>24</v>
      </c>
      <c r="K25">
        <v>4.4000000000000004</v>
      </c>
      <c r="L25" t="s">
        <v>25</v>
      </c>
      <c r="M25" t="s">
        <v>26</v>
      </c>
      <c r="N25" t="s">
        <v>27</v>
      </c>
      <c r="O25" t="s">
        <v>25</v>
      </c>
      <c r="P25" t="s">
        <v>25</v>
      </c>
      <c r="Q25">
        <v>40</v>
      </c>
      <c r="R25" t="s">
        <v>26</v>
      </c>
      <c r="S2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225D-97FC-4704-8984-B9CA8F69DFEA}">
  <dimension ref="C1:E25"/>
  <sheetViews>
    <sheetView tabSelected="1" zoomScale="205" zoomScaleNormal="205" workbookViewId="0">
      <selection activeCell="D3" sqref="D3"/>
    </sheetView>
  </sheetViews>
  <sheetFormatPr defaultRowHeight="14.4" x14ac:dyDescent="0.3"/>
  <cols>
    <col min="3" max="3" width="10.77734375" customWidth="1"/>
    <col min="4" max="4" width="14" bestFit="1" customWidth="1"/>
    <col min="5" max="5" width="7" bestFit="1" customWidth="1"/>
  </cols>
  <sheetData>
    <row r="1" spans="3:5" x14ac:dyDescent="0.3">
      <c r="C1" t="s">
        <v>1</v>
      </c>
      <c r="D1" t="s">
        <v>6</v>
      </c>
      <c r="E1" t="s">
        <v>2</v>
      </c>
    </row>
    <row r="2" spans="3:5" x14ac:dyDescent="0.3">
      <c r="C2" cm="1">
        <f t="array" ref="C2:C25">INDEX(Source!$A$2:$S$25,,MATCH(C1,Source!$A$1:$S$1,0))</f>
        <v>55</v>
      </c>
      <c r="D2" t="str" cm="1">
        <f t="array" ref="D2:D25">INDEX(Source!$A$2:$S$25,,MATCH(D1,Source!$A$1:$S$1,0))</f>
        <v>Kentucky</v>
      </c>
      <c r="E2" t="str" cm="1">
        <f t="array" ref="E2:E25">INDEX(Source!$A$2:$S$25,,MATCH(E1,Source!$A$1:$S$1,0))</f>
        <v>Male</v>
      </c>
    </row>
    <row r="3" spans="3:5" x14ac:dyDescent="0.3">
      <c r="C3">
        <v>19</v>
      </c>
      <c r="D3" t="str">
        <v>Maine</v>
      </c>
      <c r="E3" t="str">
        <v>Male</v>
      </c>
    </row>
    <row r="4" spans="3:5" x14ac:dyDescent="0.3">
      <c r="C4">
        <v>50</v>
      </c>
      <c r="D4" t="str">
        <v>Massachusetts</v>
      </c>
      <c r="E4" t="str">
        <v>Male</v>
      </c>
    </row>
    <row r="5" spans="3:5" x14ac:dyDescent="0.3">
      <c r="C5">
        <v>21</v>
      </c>
      <c r="D5" t="str">
        <v>Rhode Island</v>
      </c>
      <c r="E5" t="str">
        <v>Male</v>
      </c>
    </row>
    <row r="6" spans="3:5" x14ac:dyDescent="0.3">
      <c r="C6">
        <v>45</v>
      </c>
      <c r="D6" t="str">
        <v>Oregon</v>
      </c>
      <c r="E6" t="str">
        <v>Male</v>
      </c>
    </row>
    <row r="7" spans="3:5" x14ac:dyDescent="0.3">
      <c r="C7">
        <v>46</v>
      </c>
      <c r="D7" t="str">
        <v>Wyoming</v>
      </c>
      <c r="E7" t="str">
        <v>Male</v>
      </c>
    </row>
    <row r="8" spans="3:5" x14ac:dyDescent="0.3">
      <c r="C8">
        <v>63</v>
      </c>
      <c r="D8" t="str">
        <v>Montana</v>
      </c>
      <c r="E8" t="str">
        <v>Male</v>
      </c>
    </row>
    <row r="9" spans="3:5" x14ac:dyDescent="0.3">
      <c r="C9">
        <v>27</v>
      </c>
      <c r="D9" t="str">
        <v>Louisiana</v>
      </c>
      <c r="E9" t="str">
        <v>Male</v>
      </c>
    </row>
    <row r="10" spans="3:5" x14ac:dyDescent="0.3">
      <c r="C10">
        <v>26</v>
      </c>
      <c r="D10" t="str">
        <v>West Virginia</v>
      </c>
      <c r="E10" t="str">
        <v>Male</v>
      </c>
    </row>
    <row r="11" spans="3:5" x14ac:dyDescent="0.3">
      <c r="C11">
        <v>57</v>
      </c>
      <c r="D11" t="str">
        <v>Missouri</v>
      </c>
      <c r="E11" t="str">
        <v>Male</v>
      </c>
    </row>
    <row r="12" spans="3:5" x14ac:dyDescent="0.3">
      <c r="C12">
        <v>53</v>
      </c>
      <c r="D12" t="str">
        <v>Arkansas</v>
      </c>
      <c r="E12" t="str">
        <v>Male</v>
      </c>
    </row>
    <row r="13" spans="3:5" x14ac:dyDescent="0.3">
      <c r="C13">
        <v>30</v>
      </c>
      <c r="D13" t="str">
        <v>Hawaii</v>
      </c>
      <c r="E13" t="str">
        <v>Male</v>
      </c>
    </row>
    <row r="14" spans="3:5" x14ac:dyDescent="0.3">
      <c r="C14">
        <v>61</v>
      </c>
      <c r="D14" t="str">
        <v>Delaware</v>
      </c>
      <c r="E14" t="str">
        <v>Male</v>
      </c>
    </row>
    <row r="15" spans="3:5" x14ac:dyDescent="0.3">
      <c r="C15">
        <v>65</v>
      </c>
      <c r="D15" t="str">
        <v>New Hampshire</v>
      </c>
      <c r="E15" t="str">
        <v>Male</v>
      </c>
    </row>
    <row r="16" spans="3:5" x14ac:dyDescent="0.3">
      <c r="C16">
        <v>64</v>
      </c>
      <c r="D16" t="str">
        <v>New York</v>
      </c>
      <c r="E16" t="str">
        <v>Male</v>
      </c>
    </row>
    <row r="17" spans="3:5" x14ac:dyDescent="0.3">
      <c r="C17">
        <v>64</v>
      </c>
      <c r="D17" t="str">
        <v>Rhode Island</v>
      </c>
      <c r="E17" t="str">
        <v>Male</v>
      </c>
    </row>
    <row r="18" spans="3:5" x14ac:dyDescent="0.3">
      <c r="C18">
        <v>25</v>
      </c>
      <c r="D18" t="str">
        <v>Alabama</v>
      </c>
      <c r="E18" t="str">
        <v>Male</v>
      </c>
    </row>
    <row r="19" spans="3:5" x14ac:dyDescent="0.3">
      <c r="C19">
        <v>53</v>
      </c>
      <c r="D19" t="str">
        <v>Mississippi</v>
      </c>
      <c r="E19" t="str">
        <v>Male</v>
      </c>
    </row>
    <row r="20" spans="3:5" x14ac:dyDescent="0.3">
      <c r="C20">
        <v>52</v>
      </c>
      <c r="D20" t="str">
        <v>Montana</v>
      </c>
      <c r="E20" t="str">
        <v>Male</v>
      </c>
    </row>
    <row r="21" spans="3:5" x14ac:dyDescent="0.3">
      <c r="C21">
        <v>66</v>
      </c>
      <c r="D21" t="str">
        <v>Rhode Island</v>
      </c>
      <c r="E21" t="str">
        <v>Male</v>
      </c>
    </row>
    <row r="22" spans="3:5" x14ac:dyDescent="0.3">
      <c r="C22">
        <v>21</v>
      </c>
      <c r="D22" t="str">
        <v>Louisiana</v>
      </c>
      <c r="E22" t="str">
        <v>Male</v>
      </c>
    </row>
    <row r="23" spans="3:5" x14ac:dyDescent="0.3">
      <c r="C23">
        <v>31</v>
      </c>
      <c r="D23" t="str">
        <v>North Carolina</v>
      </c>
      <c r="E23" t="str">
        <v>Male</v>
      </c>
    </row>
    <row r="24" spans="3:5" x14ac:dyDescent="0.3">
      <c r="C24">
        <v>56</v>
      </c>
      <c r="D24" t="str">
        <v>California</v>
      </c>
      <c r="E24" t="str">
        <v>Male</v>
      </c>
    </row>
    <row r="25" spans="3:5" x14ac:dyDescent="0.3">
      <c r="C25">
        <v>31</v>
      </c>
      <c r="D25" t="str">
        <v>Oklahoma</v>
      </c>
      <c r="E25" t="str">
        <v>Male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2025-01-07T14:35:46Z</dcterms:created>
  <dcterms:modified xsi:type="dcterms:W3CDTF">2025-01-08T11:16:58Z</dcterms:modified>
</cp:coreProperties>
</file>