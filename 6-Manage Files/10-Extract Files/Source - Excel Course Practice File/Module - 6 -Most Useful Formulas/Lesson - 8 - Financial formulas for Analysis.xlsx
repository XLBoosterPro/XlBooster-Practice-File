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6 -Most Useful Formulas\"/>
    </mc:Choice>
  </mc:AlternateContent>
  <xr:revisionPtr revIDLastSave="0" documentId="8_{FF539B3C-7047-49C1-8A73-A509D5ACADD5}" xr6:coauthVersionLast="47" xr6:coauthVersionMax="47" xr10:uidLastSave="{00000000-0000-0000-0000-000000000000}"/>
  <bookViews>
    <workbookView xWindow="22932" yWindow="-108" windowWidth="23256" windowHeight="13176" xr2:uid="{CC8BB5CE-86A1-4DEB-8C2D-8983AE00C6D3}"/>
  </bookViews>
  <sheets>
    <sheet name="Loan Calc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C6" i="1"/>
  <c r="C8" i="1" s="1"/>
  <c r="C10" i="1" s="1"/>
</calcChain>
</file>

<file path=xl/sharedStrings.xml><?xml version="1.0" encoding="utf-8"?>
<sst xmlns="http://schemas.openxmlformats.org/spreadsheetml/2006/main" count="10" uniqueCount="9">
  <si>
    <t>LOAN AMOUNT</t>
  </si>
  <si>
    <t>RATE</t>
  </si>
  <si>
    <t>LOAN PERIOD IN MONTHS</t>
  </si>
  <si>
    <t>PPMT</t>
  </si>
  <si>
    <t>PERIOD</t>
  </si>
  <si>
    <t>IPMT</t>
  </si>
  <si>
    <t>EMI /PMT</t>
  </si>
  <si>
    <t>Total Paid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</si>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</sst>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0" fontId="0" fillId="0" borderId="1" xfId="0" applyBorder="1"/>
    <xf numFmtId="9" fontId="0" fillId="0" borderId="1" xfId="0" applyNumberFormat="1" applyBorder="1"/>
    <xf numFmtId="8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E066-5317-45C7-BEFC-12C8C2A952BD}">
  <dimension ref="B1:I61"/>
  <sheetViews>
    <sheetView tabSelected="1" zoomScale="175" zoomScaleNormal="175" workbookViewId="0">
      <selection activeCell="C12" sqref="C12"/>
    </sheetView>
  </sheetViews>
  <sheetFormatPr defaultRowHeight="14.4" x14ac:dyDescent="0.3"/>
  <cols>
    <col min="2" max="2" width="22.5546875" bestFit="1" customWidth="1"/>
    <col min="3" max="3" width="17.109375" customWidth="1"/>
    <col min="6" max="6" width="11.5546875" customWidth="1"/>
    <col min="9" max="9" width="10.44140625" bestFit="1" customWidth="1"/>
  </cols>
  <sheetData>
    <row r="1" spans="2:9" x14ac:dyDescent="0.3">
      <c r="E1" s="2" t="s">
        <v>4</v>
      </c>
      <c r="F1" s="2" t="s">
        <v>3</v>
      </c>
      <c r="H1" s="2" t="s">
        <v>4</v>
      </c>
      <c r="I1" s="2" t="s">
        <v>5</v>
      </c>
    </row>
    <row r="2" spans="2:9" x14ac:dyDescent="0.3">
      <c r="B2" s="2" t="s">
        <v>0</v>
      </c>
      <c r="C2" s="2">
        <v>2000000</v>
      </c>
      <c r="E2" s="2">
        <v>1</v>
      </c>
      <c r="F2" s="4">
        <f>PPMT($C$3/12,E2,$C$4,-$C$2)</f>
        <v>26516.710452708016</v>
      </c>
      <c r="H2" s="2">
        <v>1</v>
      </c>
      <c r="I2" s="4">
        <f>IPMT($C$3/12,H2,$C$4,-$C$2)</f>
        <v>15000.000000000002</v>
      </c>
    </row>
    <row r="3" spans="2:9" x14ac:dyDescent="0.3">
      <c r="B3" s="2" t="s">
        <v>1</v>
      </c>
      <c r="C3" s="3">
        <v>0.09</v>
      </c>
      <c r="E3" s="2">
        <v>2</v>
      </c>
      <c r="F3" s="4">
        <f t="shared" ref="F3:F61" si="0">PPMT($C$3/12,E3,$C$4,-$C$2)</f>
        <v>26715.585781103324</v>
      </c>
      <c r="H3" s="2">
        <v>2</v>
      </c>
      <c r="I3" s="4">
        <f t="shared" ref="I3:I61" si="1">IPMT($C$3/12,H3,$C$4,-$C$2)</f>
        <v>14801.12467160469</v>
      </c>
    </row>
    <row r="4" spans="2:9" x14ac:dyDescent="0.3">
      <c r="B4" s="2" t="s">
        <v>2</v>
      </c>
      <c r="C4" s="2">
        <v>60</v>
      </c>
      <c r="E4" s="2">
        <v>3</v>
      </c>
      <c r="F4" s="4">
        <f t="shared" si="0"/>
        <v>26915.952674461605</v>
      </c>
      <c r="H4" s="2">
        <v>3</v>
      </c>
      <c r="I4" s="4">
        <f t="shared" si="1"/>
        <v>14600.757778246416</v>
      </c>
    </row>
    <row r="5" spans="2:9" x14ac:dyDescent="0.3">
      <c r="E5" s="2">
        <v>4</v>
      </c>
      <c r="F5" s="4">
        <f t="shared" si="0"/>
        <v>27117.822319520066</v>
      </c>
      <c r="H5" s="2">
        <v>4</v>
      </c>
      <c r="I5" s="4">
        <f t="shared" si="1"/>
        <v>14398.888133187953</v>
      </c>
    </row>
    <row r="6" spans="2:9" x14ac:dyDescent="0.3">
      <c r="B6" s="2" t="s">
        <v>6</v>
      </c>
      <c r="C6" s="4">
        <f>PMT(C3/12,C4,-C2)</f>
        <v>41516.710452708016</v>
      </c>
      <c r="E6" s="2">
        <v>5</v>
      </c>
      <c r="F6" s="4">
        <f t="shared" si="0"/>
        <v>27321.205986916462</v>
      </c>
      <c r="H6" s="2">
        <v>5</v>
      </c>
      <c r="I6" s="4">
        <f t="shared" si="1"/>
        <v>14195.504465791553</v>
      </c>
    </row>
    <row r="7" spans="2:9" x14ac:dyDescent="0.3">
      <c r="E7" s="2">
        <v>6</v>
      </c>
      <c r="F7" s="4">
        <f t="shared" si="0"/>
        <v>27526.115031818343</v>
      </c>
      <c r="H7" s="2">
        <v>6</v>
      </c>
      <c r="I7" s="4">
        <f t="shared" si="1"/>
        <v>13990.59542088968</v>
      </c>
    </row>
    <row r="8" spans="2:9" x14ac:dyDescent="0.3">
      <c r="B8" s="5" t="s">
        <v>7</v>
      </c>
      <c r="C8" s="1">
        <f>C6*C4</f>
        <v>2491002.6271624807</v>
      </c>
      <c r="E8" s="2">
        <v>7</v>
      </c>
      <c r="F8" s="4">
        <f t="shared" si="0"/>
        <v>27732.560894556977</v>
      </c>
      <c r="H8" s="2">
        <v>7</v>
      </c>
      <c r="I8" s="4">
        <f t="shared" si="1"/>
        <v>13784.149558151041</v>
      </c>
    </row>
    <row r="9" spans="2:9" x14ac:dyDescent="0.3">
      <c r="E9" s="2">
        <v>8</v>
      </c>
      <c r="F9" s="4">
        <f t="shared" si="0"/>
        <v>27940.555101266153</v>
      </c>
      <c r="H9" s="2">
        <v>8</v>
      </c>
      <c r="I9" s="4">
        <f t="shared" si="1"/>
        <v>13576.155351441865</v>
      </c>
    </row>
    <row r="10" spans="2:9" x14ac:dyDescent="0.3">
      <c r="B10" t="s">
        <v>8</v>
      </c>
      <c r="C10" s="1">
        <f>C8-C2</f>
        <v>491002.62716248073</v>
      </c>
      <c r="E10" s="2">
        <v>9</v>
      </c>
      <c r="F10" s="4">
        <f t="shared" si="0"/>
        <v>28150.10926452565</v>
      </c>
      <c r="H10" s="2">
        <v>9</v>
      </c>
      <c r="I10" s="4">
        <f t="shared" si="1"/>
        <v>13366.601188182369</v>
      </c>
    </row>
    <row r="11" spans="2:9" x14ac:dyDescent="0.3">
      <c r="C11" s="1"/>
      <c r="E11" s="2">
        <v>10</v>
      </c>
      <c r="F11" s="4">
        <f t="shared" si="0"/>
        <v>28361.235084009593</v>
      </c>
      <c r="H11" s="2">
        <v>10</v>
      </c>
      <c r="I11" s="4">
        <f t="shared" si="1"/>
        <v>13155.475368698428</v>
      </c>
    </row>
    <row r="12" spans="2:9" x14ac:dyDescent="0.3">
      <c r="E12" s="2">
        <v>11</v>
      </c>
      <c r="F12" s="4">
        <f t="shared" si="0"/>
        <v>28573.944347139666</v>
      </c>
      <c r="H12" s="2">
        <v>11</v>
      </c>
      <c r="I12" s="4">
        <f t="shared" si="1"/>
        <v>12942.766105568353</v>
      </c>
    </row>
    <row r="13" spans="2:9" x14ac:dyDescent="0.3">
      <c r="E13" s="2">
        <v>12</v>
      </c>
      <c r="F13" s="4">
        <f t="shared" si="0"/>
        <v>28788.248929743211</v>
      </c>
      <c r="H13" s="2">
        <v>12</v>
      </c>
      <c r="I13" s="4">
        <f t="shared" si="1"/>
        <v>12728.461522964808</v>
      </c>
    </row>
    <row r="14" spans="2:9" x14ac:dyDescent="0.3">
      <c r="E14" s="2">
        <v>13</v>
      </c>
      <c r="F14" s="4">
        <f t="shared" si="0"/>
        <v>29004.160796716285</v>
      </c>
      <c r="H14" s="2">
        <v>13</v>
      </c>
      <c r="I14" s="4">
        <f t="shared" si="1"/>
        <v>12512.54965599173</v>
      </c>
    </row>
    <row r="15" spans="2:9" x14ac:dyDescent="0.3">
      <c r="E15" s="2">
        <v>14</v>
      </c>
      <c r="F15" s="4">
        <f t="shared" si="0"/>
        <v>29221.69200269166</v>
      </c>
      <c r="H15" s="2">
        <v>14</v>
      </c>
      <c r="I15" s="4">
        <f t="shared" si="1"/>
        <v>12295.018450016363</v>
      </c>
    </row>
    <row r="16" spans="2:9" x14ac:dyDescent="0.3">
      <c r="E16" s="2">
        <v>15</v>
      </c>
      <c r="F16" s="4">
        <f t="shared" si="0"/>
        <v>29440.854692711848</v>
      </c>
      <c r="H16" s="2">
        <v>15</v>
      </c>
      <c r="I16" s="4">
        <f t="shared" si="1"/>
        <v>12075.855759996173</v>
      </c>
    </row>
    <row r="17" spans="5:9" x14ac:dyDescent="0.3">
      <c r="E17" s="2">
        <v>16</v>
      </c>
      <c r="F17" s="4">
        <f t="shared" si="0"/>
        <v>29661.661102907183</v>
      </c>
      <c r="H17" s="2">
        <v>16</v>
      </c>
      <c r="I17" s="4">
        <f t="shared" si="1"/>
        <v>11855.049349800833</v>
      </c>
    </row>
    <row r="18" spans="5:9" x14ac:dyDescent="0.3">
      <c r="E18" s="2">
        <v>17</v>
      </c>
      <c r="F18" s="4">
        <f t="shared" si="0"/>
        <v>29884.123561178989</v>
      </c>
      <c r="H18" s="2">
        <v>17</v>
      </c>
      <c r="I18" s="4">
        <f t="shared" si="1"/>
        <v>11632.58689152903</v>
      </c>
    </row>
    <row r="19" spans="5:9" x14ac:dyDescent="0.3">
      <c r="E19" s="2">
        <v>18</v>
      </c>
      <c r="F19" s="4">
        <f t="shared" si="0"/>
        <v>30108.254487887829</v>
      </c>
      <c r="H19" s="2">
        <v>18</v>
      </c>
      <c r="I19" s="4">
        <f t="shared" si="1"/>
        <v>11408.455964820188</v>
      </c>
    </row>
    <row r="20" spans="5:9" x14ac:dyDescent="0.3">
      <c r="E20" s="2">
        <v>19</v>
      </c>
      <c r="F20" s="4">
        <f t="shared" si="0"/>
        <v>30334.06639654699</v>
      </c>
      <c r="H20" s="2">
        <v>19</v>
      </c>
      <c r="I20" s="4">
        <f t="shared" si="1"/>
        <v>11182.644056161027</v>
      </c>
    </row>
    <row r="21" spans="5:9" x14ac:dyDescent="0.3">
      <c r="E21" s="2">
        <v>20</v>
      </c>
      <c r="F21" s="4">
        <f t="shared" si="0"/>
        <v>30561.57189452109</v>
      </c>
      <c r="H21" s="2">
        <v>20</v>
      </c>
      <c r="I21" s="4">
        <f t="shared" si="1"/>
        <v>10955.138558186929</v>
      </c>
    </row>
    <row r="22" spans="5:9" x14ac:dyDescent="0.3">
      <c r="E22" s="2">
        <v>21</v>
      </c>
      <c r="F22" s="4">
        <f t="shared" si="0"/>
        <v>30790.783683729998</v>
      </c>
      <c r="H22" s="2">
        <v>21</v>
      </c>
      <c r="I22" s="4">
        <f t="shared" si="1"/>
        <v>10725.926768978017</v>
      </c>
    </row>
    <row r="23" spans="5:9" x14ac:dyDescent="0.3">
      <c r="E23" s="2">
        <v>22</v>
      </c>
      <c r="F23" s="4">
        <f t="shared" si="0"/>
        <v>31021.714561357974</v>
      </c>
      <c r="H23" s="2">
        <v>22</v>
      </c>
      <c r="I23" s="4">
        <f t="shared" si="1"/>
        <v>10494.995891350045</v>
      </c>
    </row>
    <row r="24" spans="5:9" x14ac:dyDescent="0.3">
      <c r="E24" s="2">
        <v>23</v>
      </c>
      <c r="F24" s="4">
        <f t="shared" si="0"/>
        <v>31254.377420568162</v>
      </c>
      <c r="H24" s="2">
        <v>23</v>
      </c>
      <c r="I24" s="4">
        <f t="shared" si="1"/>
        <v>10262.333032139859</v>
      </c>
    </row>
    <row r="25" spans="5:9" x14ac:dyDescent="0.3">
      <c r="E25" s="2">
        <v>24</v>
      </c>
      <c r="F25" s="4">
        <f t="shared" si="0"/>
        <v>31488.785251222424</v>
      </c>
      <c r="H25" s="2">
        <v>24</v>
      </c>
      <c r="I25" s="4">
        <f t="shared" si="1"/>
        <v>10027.925201485597</v>
      </c>
    </row>
    <row r="26" spans="5:9" x14ac:dyDescent="0.3">
      <c r="E26" s="2">
        <v>25</v>
      </c>
      <c r="F26" s="4">
        <f t="shared" si="0"/>
        <v>31724.951140606594</v>
      </c>
      <c r="H26" s="2">
        <v>25</v>
      </c>
      <c r="I26" s="4">
        <f t="shared" si="1"/>
        <v>9791.7593121014288</v>
      </c>
    </row>
    <row r="27" spans="5:9" x14ac:dyDescent="0.3">
      <c r="E27" s="2">
        <v>26</v>
      </c>
      <c r="F27" s="4">
        <f t="shared" si="0"/>
        <v>31962.888274161138</v>
      </c>
      <c r="H27" s="2">
        <v>26</v>
      </c>
      <c r="I27" s="4">
        <f t="shared" si="1"/>
        <v>9553.8221785468795</v>
      </c>
    </row>
    <row r="28" spans="5:9" x14ac:dyDescent="0.3">
      <c r="E28" s="2">
        <v>27</v>
      </c>
      <c r="F28" s="4">
        <f t="shared" si="0"/>
        <v>32202.609936217345</v>
      </c>
      <c r="H28" s="2">
        <v>27</v>
      </c>
      <c r="I28" s="4">
        <f t="shared" si="1"/>
        <v>9314.1005164906692</v>
      </c>
    </row>
    <row r="29" spans="5:9" x14ac:dyDescent="0.3">
      <c r="E29" s="2">
        <v>28</v>
      </c>
      <c r="F29" s="4">
        <f t="shared" si="0"/>
        <v>32444.129510738978</v>
      </c>
      <c r="H29" s="2">
        <v>28</v>
      </c>
      <c r="I29" s="4">
        <f t="shared" si="1"/>
        <v>9072.5809419690413</v>
      </c>
    </row>
    <row r="30" spans="5:9" x14ac:dyDescent="0.3">
      <c r="E30" s="2">
        <v>29</v>
      </c>
      <c r="F30" s="4">
        <f t="shared" si="0"/>
        <v>32687.46048206952</v>
      </c>
      <c r="H30" s="2">
        <v>29</v>
      </c>
      <c r="I30" s="4">
        <f t="shared" si="1"/>
        <v>8829.2499706384988</v>
      </c>
    </row>
    <row r="31" spans="5:9" x14ac:dyDescent="0.3">
      <c r="E31" s="2">
        <v>30</v>
      </c>
      <c r="F31" s="4">
        <f t="shared" si="0"/>
        <v>32932.616435685042</v>
      </c>
      <c r="H31" s="2">
        <v>30</v>
      </c>
      <c r="I31" s="4">
        <f t="shared" si="1"/>
        <v>8584.0940170229769</v>
      </c>
    </row>
    <row r="32" spans="5:9" x14ac:dyDescent="0.3">
      <c r="E32" s="2">
        <v>31</v>
      </c>
      <c r="F32" s="4">
        <f t="shared" si="0"/>
        <v>33179.61105895268</v>
      </c>
      <c r="H32" s="2">
        <v>31</v>
      </c>
      <c r="I32" s="4">
        <f t="shared" si="1"/>
        <v>8337.0993937553394</v>
      </c>
    </row>
    <row r="33" spans="5:9" x14ac:dyDescent="0.3">
      <c r="E33" s="2">
        <v>32</v>
      </c>
      <c r="F33" s="4">
        <f t="shared" si="0"/>
        <v>33428.458141894829</v>
      </c>
      <c r="H33" s="2">
        <v>32</v>
      </c>
      <c r="I33" s="4">
        <f t="shared" si="1"/>
        <v>8088.2523108131936</v>
      </c>
    </row>
    <row r="34" spans="5:9" x14ac:dyDescent="0.3">
      <c r="E34" s="2">
        <v>33</v>
      </c>
      <c r="F34" s="4">
        <f t="shared" si="0"/>
        <v>33679.171577959038</v>
      </c>
      <c r="H34" s="2">
        <v>33</v>
      </c>
      <c r="I34" s="4">
        <f t="shared" si="1"/>
        <v>7837.5388747489824</v>
      </c>
    </row>
    <row r="35" spans="5:9" x14ac:dyDescent="0.3">
      <c r="E35" s="2">
        <v>34</v>
      </c>
      <c r="F35" s="4">
        <f t="shared" si="0"/>
        <v>33931.765364793726</v>
      </c>
      <c r="H35" s="2">
        <v>34</v>
      </c>
      <c r="I35" s="4">
        <f t="shared" si="1"/>
        <v>7584.9450879142887</v>
      </c>
    </row>
    <row r="36" spans="5:9" x14ac:dyDescent="0.3">
      <c r="E36" s="2">
        <v>35</v>
      </c>
      <c r="F36" s="4">
        <f t="shared" si="0"/>
        <v>34186.253605029684</v>
      </c>
      <c r="H36" s="2">
        <v>35</v>
      </c>
      <c r="I36" s="4">
        <f t="shared" si="1"/>
        <v>7330.4568476783379</v>
      </c>
    </row>
    <row r="37" spans="5:9" x14ac:dyDescent="0.3">
      <c r="E37" s="2">
        <v>36</v>
      </c>
      <c r="F37" s="4">
        <f t="shared" si="0"/>
        <v>34442.650507067403</v>
      </c>
      <c r="H37" s="2">
        <v>36</v>
      </c>
      <c r="I37" s="4">
        <f t="shared" si="1"/>
        <v>7074.0599456406135</v>
      </c>
    </row>
    <row r="38" spans="5:9" x14ac:dyDescent="0.3">
      <c r="E38" s="2">
        <v>37</v>
      </c>
      <c r="F38" s="4">
        <f t="shared" si="0"/>
        <v>34700.970385870409</v>
      </c>
      <c r="H38" s="2">
        <v>37</v>
      </c>
      <c r="I38" s="4">
        <f t="shared" si="1"/>
        <v>6815.7400668376085</v>
      </c>
    </row>
    <row r="39" spans="5:9" x14ac:dyDescent="0.3">
      <c r="E39" s="2">
        <v>38</v>
      </c>
      <c r="F39" s="4">
        <f t="shared" si="0"/>
        <v>34961.227663764439</v>
      </c>
      <c r="H39" s="2">
        <v>38</v>
      </c>
      <c r="I39" s="4">
        <f t="shared" si="1"/>
        <v>6555.4827889435801</v>
      </c>
    </row>
    <row r="40" spans="5:9" x14ac:dyDescent="0.3">
      <c r="E40" s="2">
        <v>39</v>
      </c>
      <c r="F40" s="4">
        <f t="shared" si="0"/>
        <v>35223.436871242673</v>
      </c>
      <c r="H40" s="2">
        <v>39</v>
      </c>
      <c r="I40" s="4">
        <f t="shared" si="1"/>
        <v>6293.273581465347</v>
      </c>
    </row>
    <row r="41" spans="5:9" x14ac:dyDescent="0.3">
      <c r="E41" s="2">
        <v>40</v>
      </c>
      <c r="F41" s="4">
        <f t="shared" si="0"/>
        <v>35487.612647776994</v>
      </c>
      <c r="H41" s="2">
        <v>40</v>
      </c>
      <c r="I41" s="4">
        <f t="shared" si="1"/>
        <v>6029.097804931027</v>
      </c>
    </row>
    <row r="42" spans="5:9" x14ac:dyDescent="0.3">
      <c r="E42" s="2">
        <v>41</v>
      </c>
      <c r="F42" s="4">
        <f t="shared" si="0"/>
        <v>35753.769742635312</v>
      </c>
      <c r="H42" s="2">
        <v>41</v>
      </c>
      <c r="I42" s="4">
        <f t="shared" si="1"/>
        <v>5762.9407100726994</v>
      </c>
    </row>
    <row r="43" spans="5:9" x14ac:dyDescent="0.3">
      <c r="E43" s="2">
        <v>42</v>
      </c>
      <c r="F43" s="4">
        <f t="shared" si="0"/>
        <v>36021.923015705084</v>
      </c>
      <c r="H43" s="2">
        <v>42</v>
      </c>
      <c r="I43" s="4">
        <f t="shared" si="1"/>
        <v>5494.7874370029349</v>
      </c>
    </row>
    <row r="44" spans="5:9" x14ac:dyDescent="0.3">
      <c r="E44" s="2">
        <v>43</v>
      </c>
      <c r="F44" s="4">
        <f t="shared" si="0"/>
        <v>36292.087438322873</v>
      </c>
      <c r="H44" s="2">
        <v>43</v>
      </c>
      <c r="I44" s="4">
        <f t="shared" si="1"/>
        <v>5224.6230143851462</v>
      </c>
    </row>
    <row r="45" spans="5:9" x14ac:dyDescent="0.3">
      <c r="E45" s="2">
        <v>44</v>
      </c>
      <c r="F45" s="4">
        <f t="shared" si="0"/>
        <v>36564.278094110297</v>
      </c>
      <c r="H45" s="2">
        <v>44</v>
      </c>
      <c r="I45" s="4">
        <f t="shared" si="1"/>
        <v>4952.4323585977245</v>
      </c>
    </row>
    <row r="46" spans="5:9" x14ac:dyDescent="0.3">
      <c r="E46" s="2">
        <v>45</v>
      </c>
      <c r="F46" s="4">
        <f t="shared" si="0"/>
        <v>36838.510179816119</v>
      </c>
      <c r="H46" s="2">
        <v>45</v>
      </c>
      <c r="I46" s="4">
        <f t="shared" si="1"/>
        <v>4678.2002728918978</v>
      </c>
    </row>
    <row r="47" spans="5:9" x14ac:dyDescent="0.3">
      <c r="E47" s="2">
        <v>46</v>
      </c>
      <c r="F47" s="4">
        <f t="shared" si="0"/>
        <v>37114.799006164743</v>
      </c>
      <c r="H47" s="2">
        <v>46</v>
      </c>
      <c r="I47" s="4">
        <f t="shared" si="1"/>
        <v>4401.9114465432776</v>
      </c>
    </row>
    <row r="48" spans="5:9" x14ac:dyDescent="0.3">
      <c r="E48" s="2">
        <v>47</v>
      </c>
      <c r="F48" s="4">
        <f t="shared" si="0"/>
        <v>37393.159998710973</v>
      </c>
      <c r="H48" s="2">
        <v>47</v>
      </c>
      <c r="I48" s="4">
        <f t="shared" si="1"/>
        <v>4123.5504539970416</v>
      </c>
    </row>
    <row r="49" spans="5:9" x14ac:dyDescent="0.3">
      <c r="E49" s="2">
        <v>48</v>
      </c>
      <c r="F49" s="4">
        <f t="shared" si="0"/>
        <v>37673.608698701311</v>
      </c>
      <c r="H49" s="2">
        <v>48</v>
      </c>
      <c r="I49" s="4">
        <f t="shared" si="1"/>
        <v>3843.1017540067096</v>
      </c>
    </row>
    <row r="50" spans="5:9" x14ac:dyDescent="0.3">
      <c r="E50" s="2">
        <v>49</v>
      </c>
      <c r="F50" s="4">
        <f t="shared" si="0"/>
        <v>37956.160763941574</v>
      </c>
      <c r="H50" s="2">
        <v>49</v>
      </c>
      <c r="I50" s="4">
        <f t="shared" si="1"/>
        <v>3560.5496887664494</v>
      </c>
    </row>
    <row r="51" spans="5:9" x14ac:dyDescent="0.3">
      <c r="E51" s="2">
        <v>50</v>
      </c>
      <c r="F51" s="4">
        <f t="shared" si="0"/>
        <v>38240.831969671126</v>
      </c>
      <c r="H51" s="2">
        <v>50</v>
      </c>
      <c r="I51" s="4">
        <f t="shared" si="1"/>
        <v>3275.8784830368877</v>
      </c>
    </row>
    <row r="52" spans="5:9" x14ac:dyDescent="0.3">
      <c r="E52" s="2">
        <v>51</v>
      </c>
      <c r="F52" s="4">
        <f t="shared" si="0"/>
        <v>38527.638209443663</v>
      </c>
      <c r="H52" s="2">
        <v>51</v>
      </c>
      <c r="I52" s="4">
        <f t="shared" si="1"/>
        <v>2989.0722432643538</v>
      </c>
    </row>
    <row r="53" spans="5:9" x14ac:dyDescent="0.3">
      <c r="E53" s="2">
        <v>52</v>
      </c>
      <c r="F53" s="4">
        <f t="shared" si="0"/>
        <v>38816.595496014495</v>
      </c>
      <c r="H53" s="2">
        <v>52</v>
      </c>
      <c r="I53" s="4">
        <f t="shared" si="1"/>
        <v>2700.1149566935264</v>
      </c>
    </row>
    <row r="54" spans="5:9" x14ac:dyDescent="0.3">
      <c r="E54" s="2">
        <v>53</v>
      </c>
      <c r="F54" s="4">
        <f t="shared" si="0"/>
        <v>39107.719962234602</v>
      </c>
      <c r="H54" s="2">
        <v>53</v>
      </c>
      <c r="I54" s="4">
        <f t="shared" si="1"/>
        <v>2408.9904904734176</v>
      </c>
    </row>
    <row r="55" spans="5:9" x14ac:dyDescent="0.3">
      <c r="E55" s="2">
        <v>54</v>
      </c>
      <c r="F55" s="4">
        <f t="shared" si="0"/>
        <v>39401.027861951356</v>
      </c>
      <c r="H55" s="2">
        <v>54</v>
      </c>
      <c r="I55" s="4">
        <f t="shared" si="1"/>
        <v>2115.6825907566581</v>
      </c>
    </row>
    <row r="56" spans="5:9" x14ac:dyDescent="0.3">
      <c r="E56" s="2">
        <v>55</v>
      </c>
      <c r="F56" s="4">
        <f t="shared" si="0"/>
        <v>39696.535570915992</v>
      </c>
      <c r="H56" s="2">
        <v>55</v>
      </c>
      <c r="I56" s="4">
        <f t="shared" si="1"/>
        <v>1820.1748817920231</v>
      </c>
    </row>
    <row r="57" spans="5:9" x14ac:dyDescent="0.3">
      <c r="E57" s="2">
        <v>56</v>
      </c>
      <c r="F57" s="4">
        <f t="shared" si="0"/>
        <v>39994.259587697867</v>
      </c>
      <c r="H57" s="2">
        <v>56</v>
      </c>
      <c r="I57" s="4">
        <f t="shared" si="1"/>
        <v>1522.4508650101532</v>
      </c>
    </row>
    <row r="58" spans="5:9" x14ac:dyDescent="0.3">
      <c r="E58" s="2">
        <v>57</v>
      </c>
      <c r="F58" s="4">
        <f t="shared" si="0"/>
        <v>40294.216534605599</v>
      </c>
      <c r="H58" s="2">
        <v>57</v>
      </c>
      <c r="I58" s="4">
        <f t="shared" si="1"/>
        <v>1222.4939181024192</v>
      </c>
    </row>
    <row r="59" spans="5:9" x14ac:dyDescent="0.3">
      <c r="E59" s="2">
        <v>58</v>
      </c>
      <c r="F59" s="4">
        <f t="shared" si="0"/>
        <v>40596.423158615144</v>
      </c>
      <c r="H59" s="2">
        <v>58</v>
      </c>
      <c r="I59" s="4">
        <f t="shared" si="1"/>
        <v>920.287294092877</v>
      </c>
    </row>
    <row r="60" spans="5:9" x14ac:dyDescent="0.3">
      <c r="E60" s="2">
        <v>59</v>
      </c>
      <c r="F60" s="4">
        <f t="shared" si="0"/>
        <v>40900.89633230475</v>
      </c>
      <c r="H60" s="2">
        <v>59</v>
      </c>
      <c r="I60" s="4">
        <f t="shared" si="1"/>
        <v>615.81412040326359</v>
      </c>
    </row>
    <row r="61" spans="5:9" x14ac:dyDescent="0.3">
      <c r="E61" s="2">
        <v>60</v>
      </c>
      <c r="F61" s="4">
        <f t="shared" si="0"/>
        <v>41207.65305479704</v>
      </c>
      <c r="H61" s="2">
        <v>60</v>
      </c>
      <c r="I61" s="4">
        <f t="shared" si="1"/>
        <v>309.05739791097784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2025-01-12T12:38:05Z</dcterms:created>
  <dcterms:modified xsi:type="dcterms:W3CDTF">2025-01-12T13:09:30Z</dcterms:modified>
</cp:coreProperties>
</file>