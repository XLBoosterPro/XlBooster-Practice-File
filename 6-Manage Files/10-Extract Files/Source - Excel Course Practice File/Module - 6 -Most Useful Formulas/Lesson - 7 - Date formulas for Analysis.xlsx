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6 -Most Useful Formulas\"/>
    </mc:Choice>
  </mc:AlternateContent>
  <xr:revisionPtr revIDLastSave="0" documentId="13_ncr:1_{599200E8-F938-46FC-BF3B-A544043CD1B8}" xr6:coauthVersionLast="47" xr6:coauthVersionMax="47" xr10:uidLastSave="{00000000-0000-0000-0000-000000000000}"/>
  <bookViews>
    <workbookView xWindow="22932" yWindow="-108" windowWidth="23256" windowHeight="13176" activeTab="3" xr2:uid="{34CC4EB9-931D-4F9D-97B5-6526C8BA0BA8}"/>
  </bookViews>
  <sheets>
    <sheet name="Date1" sheetId="1" r:id="rId1"/>
    <sheet name="Datedif" sheetId="3" r:id="rId2"/>
    <sheet name="Networkdays" sheetId="2" r:id="rId3"/>
    <sheet name="E- D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2" i="4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C3" i="4"/>
  <c r="C4" i="4"/>
  <c r="C5" i="4"/>
  <c r="C6" i="4"/>
  <c r="C7" i="4"/>
  <c r="C8" i="4"/>
  <c r="C9" i="4"/>
  <c r="C2" i="4"/>
  <c r="C6" i="2"/>
  <c r="F2" i="3"/>
  <c r="F3" i="3"/>
  <c r="F4" i="3"/>
  <c r="C3" i="3"/>
  <c r="C4" i="3"/>
  <c r="C5" i="3"/>
  <c r="C6" i="3"/>
  <c r="C7" i="3"/>
  <c r="C8" i="3"/>
  <c r="C9" i="3"/>
  <c r="C2" i="3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  <c r="C3" i="1"/>
  <c r="C4" i="1"/>
  <c r="C5" i="1"/>
  <c r="C6" i="1"/>
  <c r="C7" i="1"/>
  <c r="C8" i="1"/>
  <c r="C9" i="1"/>
  <c r="C2" i="1"/>
  <c r="B3" i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<sst xmlns="http://schemas.openxmlformats.org/spreadsheetml/2006/main" count="18" uniqueCount="16">
  <si>
    <t>Day</t>
  </si>
  <si>
    <t>Date</t>
  </si>
  <si>
    <t>Find out Total working days of Demeber -2024 Months</t>
  </si>
  <si>
    <t>Holidays</t>
  </si>
  <si>
    <t>Payment Due</t>
  </si>
  <si>
    <t>Due Date</t>
  </si>
  <si>
    <t>Due Days</t>
  </si>
  <si>
    <t>Emp Birth Date</t>
  </si>
  <si>
    <t>Age</t>
  </si>
  <si>
    <t>Year</t>
  </si>
  <si>
    <t>Month</t>
  </si>
  <si>
    <t>DATE</t>
  </si>
  <si>
    <t>Weekday</t>
  </si>
  <si>
    <t>Weeknumber</t>
  </si>
  <si>
    <t>Edate</t>
  </si>
  <si>
    <t>EOMONTH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</si>
</sst>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14" fontId="1" fillId="0" borderId="0" xfId="0" applyNumberFormat="1" applyFont="1"/>
    <xf numFmtId="0" fontId="1" fillId="0" borderId="0" xfId="0" applyFont="1"/>
    <xf numFmtId="14" fontId="0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200632</xdr:colOff>
      <xdr:row>1</xdr:row>
      <xdr:rowOff>56606</xdr:rowOff>
    </xdr:from>
    <xdr:to>
      <xdr:col>12</xdr:col>
      <xdr:colOff>167639</xdr:colOff>
      <xdr:row>13</xdr:row>
      <xdr:rowOff>60960</xdr:rowOff>
    </xdr:to>
    <xdr:pic>
      <xdr:nvPicPr>
        <xdr:cNvPr id="2" name="Picture 1" descr="December 2024 Calendar Templates | 40 Awesome Designs!">
          <a:extLst>
            <a:ext uri="{FF2B5EF4-FFF2-40B4-BE49-F238E27FC236}">
              <a16:creationId xmlns:a16="http://schemas.microsoft.com/office/drawing/2014/main" id="{ABB2B97C-8FF0-0E30-208D-1A8BEAF956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51"/>
        <a:stretch/>
      </xdr:blipFill>
      <xdr:spPr bwMode="auto">
        <a:xfrm>
          <a:off x="4829238" y="239486"/>
          <a:ext cx="3015007" cy="2198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E1FA-10DF-49B9-9B68-3AC159EDAAE0}">
  <dimension ref="A1:E12"/>
  <sheetViews>
    <sheetView zoomScale="205" zoomScaleNormal="205" workbookViewId="0">
      <selection activeCell="E2" sqref="E2"/>
    </sheetView>
  </sheetViews>
  <sheetFormatPr defaultRowHeight="14.4" x14ac:dyDescent="0.3"/>
  <cols>
    <col min="1" max="1" width="10.33203125" bestFit="1" customWidth="1"/>
    <col min="5" max="5" width="15.44140625" bestFit="1" customWidth="1"/>
  </cols>
  <sheetData>
    <row r="1" spans="1:5" x14ac:dyDescent="0.3">
      <c r="A1" t="s">
        <v>1</v>
      </c>
      <c r="B1" t="s">
        <v>9</v>
      </c>
      <c r="C1" t="s">
        <v>10</v>
      </c>
      <c r="D1" t="s">
        <v>0</v>
      </c>
      <c r="E1" t="s">
        <v>11</v>
      </c>
    </row>
    <row r="2" spans="1:5" x14ac:dyDescent="0.3">
      <c r="A2" s="1">
        <v>45658</v>
      </c>
      <c r="B2">
        <f>YEAR(A2)</f>
        <v>2025</v>
      </c>
      <c r="C2">
        <f>MONTH(A2)</f>
        <v>1</v>
      </c>
      <c r="D2">
        <f>DAY(A2)</f>
        <v>1</v>
      </c>
      <c r="E2" s="1">
        <f>DATE(B2,C2,D2)</f>
        <v>45658</v>
      </c>
    </row>
    <row r="3" spans="1:5" x14ac:dyDescent="0.3">
      <c r="A3" s="1">
        <v>45757</v>
      </c>
      <c r="B3">
        <f t="shared" ref="B3:B9" si="0">YEAR(A3)</f>
        <v>2025</v>
      </c>
      <c r="C3">
        <f t="shared" ref="C3:C9" si="1">MONTH(A3)</f>
        <v>4</v>
      </c>
      <c r="D3">
        <f t="shared" ref="D3:D9" si="2">DAY(A3)</f>
        <v>10</v>
      </c>
      <c r="E3" s="1">
        <f t="shared" ref="E3:E9" si="3">DATE(B3,C3,D3)</f>
        <v>45757</v>
      </c>
    </row>
    <row r="4" spans="1:5" x14ac:dyDescent="0.3">
      <c r="A4" s="1">
        <v>45721</v>
      </c>
      <c r="B4">
        <f t="shared" si="0"/>
        <v>2025</v>
      </c>
      <c r="C4">
        <f t="shared" si="1"/>
        <v>3</v>
      </c>
      <c r="D4">
        <f t="shared" si="2"/>
        <v>5</v>
      </c>
      <c r="E4" s="1">
        <f t="shared" si="3"/>
        <v>45721</v>
      </c>
    </row>
    <row r="5" spans="1:5" x14ac:dyDescent="0.3">
      <c r="A5" s="1">
        <v>45683</v>
      </c>
      <c r="B5">
        <f t="shared" si="0"/>
        <v>2025</v>
      </c>
      <c r="C5">
        <f t="shared" si="1"/>
        <v>1</v>
      </c>
      <c r="D5">
        <f t="shared" si="2"/>
        <v>26</v>
      </c>
      <c r="E5" s="1">
        <f t="shared" si="3"/>
        <v>45683</v>
      </c>
    </row>
    <row r="6" spans="1:5" x14ac:dyDescent="0.3">
      <c r="A6" s="1">
        <v>45916</v>
      </c>
      <c r="B6">
        <f t="shared" si="0"/>
        <v>2025</v>
      </c>
      <c r="C6">
        <f t="shared" si="1"/>
        <v>9</v>
      </c>
      <c r="D6">
        <f t="shared" si="2"/>
        <v>16</v>
      </c>
      <c r="E6" s="1">
        <f t="shared" si="3"/>
        <v>45916</v>
      </c>
    </row>
    <row r="7" spans="1:5" x14ac:dyDescent="0.3">
      <c r="A7" s="1">
        <v>45677</v>
      </c>
      <c r="B7">
        <f t="shared" si="0"/>
        <v>2025</v>
      </c>
      <c r="C7">
        <f t="shared" si="1"/>
        <v>1</v>
      </c>
      <c r="D7">
        <f t="shared" si="2"/>
        <v>20</v>
      </c>
      <c r="E7" s="1">
        <f t="shared" si="3"/>
        <v>45677</v>
      </c>
    </row>
    <row r="8" spans="1:5" x14ac:dyDescent="0.3">
      <c r="A8" s="1">
        <v>45663</v>
      </c>
      <c r="B8">
        <f t="shared" si="0"/>
        <v>2025</v>
      </c>
      <c r="C8">
        <f t="shared" si="1"/>
        <v>1</v>
      </c>
      <c r="D8">
        <f t="shared" si="2"/>
        <v>6</v>
      </c>
      <c r="E8" s="1">
        <f t="shared" si="3"/>
        <v>45663</v>
      </c>
    </row>
    <row r="9" spans="1:5" x14ac:dyDescent="0.3">
      <c r="A9" s="1">
        <v>45891</v>
      </c>
      <c r="B9">
        <f t="shared" si="0"/>
        <v>2025</v>
      </c>
      <c r="C9">
        <f t="shared" si="1"/>
        <v>8</v>
      </c>
      <c r="D9">
        <f t="shared" si="2"/>
        <v>22</v>
      </c>
      <c r="E9" s="1">
        <f t="shared" si="3"/>
        <v>45891</v>
      </c>
    </row>
    <row r="10" spans="1:5" x14ac:dyDescent="0.3">
      <c r="A10" s="1"/>
    </row>
    <row r="11" spans="1:5" x14ac:dyDescent="0.3">
      <c r="A11" s="1"/>
    </row>
    <row r="12" spans="1:5" x14ac:dyDescent="0.3">
      <c r="A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457B-F6E8-4C2B-8E4C-02B257133C62}">
  <dimension ref="A1:F12"/>
  <sheetViews>
    <sheetView topLeftCell="C1" zoomScale="205" zoomScaleNormal="205" workbookViewId="0">
      <selection activeCell="E7" sqref="E7"/>
    </sheetView>
  </sheetViews>
  <sheetFormatPr defaultRowHeight="14.4" x14ac:dyDescent="0.3"/>
  <cols>
    <col min="1" max="1" width="15.33203125" customWidth="1"/>
    <col min="2" max="2" width="15.5546875" customWidth="1"/>
    <col min="3" max="3" width="13.6640625" customWidth="1"/>
    <col min="4" max="4" width="10.33203125" bestFit="1" customWidth="1"/>
    <col min="5" max="5" width="16" customWidth="1"/>
    <col min="6" max="6" width="25.77734375" customWidth="1"/>
  </cols>
  <sheetData>
    <row r="1" spans="1:6" x14ac:dyDescent="0.3">
      <c r="A1" t="s">
        <v>4</v>
      </c>
      <c r="B1" t="s">
        <v>5</v>
      </c>
      <c r="C1" t="s">
        <v>6</v>
      </c>
      <c r="E1" t="s">
        <v>7</v>
      </c>
      <c r="F1" t="s">
        <v>8</v>
      </c>
    </row>
    <row r="2" spans="1:6" x14ac:dyDescent="0.3">
      <c r="A2">
        <v>5000</v>
      </c>
      <c r="B2" s="1">
        <v>46016</v>
      </c>
      <c r="C2" t="str">
        <f ca="1">IFERROR(DATEDIF(B2,TODAY(),"D"),"")</f>
        <v/>
      </c>
      <c r="E2" s="1">
        <v>34455</v>
      </c>
      <c r="F2" t="str">
        <f ca="1">DATEDIF(E2,TODAY(),"Y")&amp;" Years "&amp;DATEDIF(E2,TODAY(),"YM")&amp;" Months "&amp;DATEDIF(E2,TODAY(),"MD")&amp;" Days"</f>
        <v>30 Years 8 Months 10 Days</v>
      </c>
    </row>
    <row r="3" spans="1:6" x14ac:dyDescent="0.3">
      <c r="A3">
        <v>3500</v>
      </c>
      <c r="B3" s="1">
        <v>45654</v>
      </c>
      <c r="C3">
        <f t="shared" ref="C3:C9" ca="1" si="0">IFERROR(DATEDIF(B3,TODAY(),"D"),"")</f>
        <v>14</v>
      </c>
      <c r="E3" s="1">
        <v>30295</v>
      </c>
      <c r="F3" t="str">
        <f t="shared" ref="F3:F4" ca="1" si="1">DATEDIF(E3,TODAY(),"Y")&amp;" Years "&amp;DATEDIF(E3,TODAY(),"YM")&amp;" Months "&amp;DATEDIF(E3,TODAY(),"MD")&amp;" Days"</f>
        <v>42 Years 1 Months 1 Days</v>
      </c>
    </row>
    <row r="4" spans="1:6" x14ac:dyDescent="0.3">
      <c r="A4">
        <v>1500</v>
      </c>
      <c r="B4" s="1">
        <v>45657</v>
      </c>
      <c r="C4">
        <f t="shared" ca="1" si="0"/>
        <v>11</v>
      </c>
      <c r="E4" s="1">
        <v>35008</v>
      </c>
      <c r="F4" t="str">
        <f t="shared" ca="1" si="1"/>
        <v>29 Years 2 Months 6 Days</v>
      </c>
    </row>
    <row r="5" spans="1:6" x14ac:dyDescent="0.3">
      <c r="A5">
        <v>6500</v>
      </c>
      <c r="B5" s="1">
        <v>45294</v>
      </c>
      <c r="C5">
        <f t="shared" ca="1" si="0"/>
        <v>374</v>
      </c>
    </row>
    <row r="6" spans="1:6" x14ac:dyDescent="0.3">
      <c r="A6">
        <v>2800</v>
      </c>
      <c r="B6" s="1">
        <v>45297</v>
      </c>
      <c r="C6">
        <f t="shared" ca="1" si="0"/>
        <v>371</v>
      </c>
    </row>
    <row r="7" spans="1:6" x14ac:dyDescent="0.3">
      <c r="A7">
        <v>35000</v>
      </c>
      <c r="B7" s="1">
        <v>45300</v>
      </c>
      <c r="C7">
        <f t="shared" ca="1" si="0"/>
        <v>368</v>
      </c>
      <c r="D7" s="1"/>
    </row>
    <row r="8" spans="1:6" x14ac:dyDescent="0.3">
      <c r="A8">
        <v>6000</v>
      </c>
      <c r="B8" s="1">
        <v>45669</v>
      </c>
      <c r="C8" t="str">
        <f t="shared" ca="1" si="0"/>
        <v/>
      </c>
    </row>
    <row r="9" spans="1:6" x14ac:dyDescent="0.3">
      <c r="A9">
        <v>2500</v>
      </c>
      <c r="B9" s="1">
        <v>45306</v>
      </c>
      <c r="C9">
        <f t="shared" ca="1" si="0"/>
        <v>362</v>
      </c>
    </row>
    <row r="10" spans="1:6" x14ac:dyDescent="0.3">
      <c r="A10" s="1"/>
    </row>
    <row r="11" spans="1:6" x14ac:dyDescent="0.3">
      <c r="A11" s="1"/>
    </row>
    <row r="12" spans="1:6" x14ac:dyDescent="0.3">
      <c r="A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1DE0-2DD5-4727-955D-5532CF969D51}">
  <dimension ref="A1:M15"/>
  <sheetViews>
    <sheetView zoomScale="175" zoomScaleNormal="175" workbookViewId="0">
      <selection activeCell="C6" sqref="C6"/>
    </sheetView>
  </sheetViews>
  <sheetFormatPr defaultRowHeight="14.4" x14ac:dyDescent="0.3"/>
  <cols>
    <col min="1" max="1" width="12.6640625" customWidth="1"/>
    <col min="6" max="6" width="10" customWidth="1"/>
    <col min="7" max="7" width="10.33203125" bestFit="1" customWidth="1"/>
  </cols>
  <sheetData>
    <row r="1" spans="1:13" x14ac:dyDescent="0.3">
      <c r="A1" s="3" t="s">
        <v>2</v>
      </c>
      <c r="B1" s="4"/>
      <c r="C1" s="4"/>
      <c r="D1" s="4"/>
      <c r="E1" s="4"/>
      <c r="F1" t="s">
        <v>3</v>
      </c>
      <c r="H1" s="2"/>
      <c r="I1" s="2"/>
      <c r="J1" s="2"/>
      <c r="K1" s="2"/>
      <c r="L1" s="2"/>
      <c r="M1" s="2"/>
    </row>
    <row r="2" spans="1:13" x14ac:dyDescent="0.3">
      <c r="A2" s="1">
        <v>45627</v>
      </c>
      <c r="F2" s="5">
        <v>45632</v>
      </c>
      <c r="H2" s="2"/>
      <c r="I2" s="2"/>
      <c r="J2" s="2"/>
      <c r="K2" s="2"/>
      <c r="L2" s="2"/>
      <c r="M2" s="2"/>
    </row>
    <row r="3" spans="1:13" x14ac:dyDescent="0.3">
      <c r="A3" s="1">
        <v>45657</v>
      </c>
      <c r="F3" s="1">
        <v>45651</v>
      </c>
      <c r="H3" s="2"/>
      <c r="I3" s="2"/>
      <c r="J3" s="2"/>
      <c r="K3" s="2"/>
      <c r="L3" s="2"/>
      <c r="M3" s="2"/>
    </row>
    <row r="4" spans="1:13" x14ac:dyDescent="0.3">
      <c r="A4" s="1"/>
      <c r="H4" s="2"/>
      <c r="I4" s="2"/>
      <c r="J4" s="2"/>
      <c r="K4" s="2"/>
      <c r="L4" s="2"/>
      <c r="M4" s="2"/>
    </row>
    <row r="5" spans="1:13" x14ac:dyDescent="0.3">
      <c r="H5" s="2"/>
      <c r="I5" s="2"/>
      <c r="J5" s="2"/>
      <c r="K5" s="2"/>
      <c r="L5" s="2"/>
      <c r="M5" s="2"/>
    </row>
    <row r="6" spans="1:13" x14ac:dyDescent="0.3">
      <c r="C6">
        <f>NETWORKDAYS.INTL(A2,A3,1,F2:F3)</f>
        <v>20</v>
      </c>
      <c r="H6" s="2"/>
      <c r="I6" s="2"/>
      <c r="J6" s="2"/>
      <c r="K6" s="2"/>
      <c r="L6" s="2"/>
      <c r="M6" s="2"/>
    </row>
    <row r="7" spans="1:13" x14ac:dyDescent="0.3">
      <c r="H7" s="2"/>
      <c r="I7" s="2"/>
      <c r="J7" s="2"/>
      <c r="K7" s="2"/>
      <c r="L7" s="2"/>
      <c r="M7" s="2"/>
    </row>
    <row r="8" spans="1:13" x14ac:dyDescent="0.3">
      <c r="A8" s="1"/>
      <c r="H8" s="2"/>
      <c r="I8" s="2"/>
      <c r="J8" s="2"/>
      <c r="K8" s="2"/>
      <c r="L8" s="2"/>
      <c r="M8" s="2"/>
    </row>
    <row r="9" spans="1:13" x14ac:dyDescent="0.3">
      <c r="A9" s="1"/>
      <c r="H9" s="2"/>
      <c r="I9" s="2"/>
      <c r="J9" s="2"/>
      <c r="K9" s="2"/>
      <c r="L9" s="2"/>
      <c r="M9" s="2"/>
    </row>
    <row r="10" spans="1:13" x14ac:dyDescent="0.3">
      <c r="A10" s="1"/>
      <c r="H10" s="2"/>
      <c r="I10" s="2"/>
      <c r="J10" s="2"/>
      <c r="K10" s="2"/>
      <c r="L10" s="2"/>
      <c r="M10" s="2"/>
    </row>
    <row r="11" spans="1:13" x14ac:dyDescent="0.3">
      <c r="A11" s="1"/>
      <c r="H11" s="2"/>
      <c r="I11" s="2"/>
      <c r="J11" s="2"/>
      <c r="K11" s="2"/>
      <c r="L11" s="2"/>
      <c r="M11" s="2"/>
    </row>
    <row r="12" spans="1:13" x14ac:dyDescent="0.3">
      <c r="A12" s="1"/>
      <c r="H12" s="2"/>
      <c r="I12" s="2"/>
      <c r="J12" s="2"/>
      <c r="K12" s="2"/>
      <c r="L12" s="2"/>
      <c r="M12" s="2"/>
    </row>
    <row r="13" spans="1:13" x14ac:dyDescent="0.3">
      <c r="A13" s="1"/>
      <c r="H13" s="2"/>
      <c r="I13" s="2"/>
      <c r="J13" s="2"/>
      <c r="K13" s="2"/>
      <c r="L13" s="2"/>
      <c r="M13" s="2"/>
    </row>
    <row r="14" spans="1:13" x14ac:dyDescent="0.3">
      <c r="A14" s="1"/>
      <c r="H14" s="2"/>
      <c r="I14" s="2"/>
      <c r="J14" s="2"/>
      <c r="K14" s="2"/>
      <c r="L14" s="2"/>
      <c r="M14" s="2"/>
    </row>
    <row r="15" spans="1:13" x14ac:dyDescent="0.3">
      <c r="H15" s="2"/>
      <c r="I15" s="2"/>
      <c r="J15" s="2"/>
      <c r="K15" s="2"/>
      <c r="L15" s="2"/>
      <c r="M15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69F7-4B21-45B2-887D-9DFF29E16C96}">
  <dimension ref="A1:F12"/>
  <sheetViews>
    <sheetView tabSelected="1" zoomScale="205" zoomScaleNormal="205" workbookViewId="0">
      <selection activeCell="B9" sqref="B9"/>
    </sheetView>
  </sheetViews>
  <sheetFormatPr defaultRowHeight="14.4" x14ac:dyDescent="0.3"/>
  <cols>
    <col min="1" max="1" width="15.33203125" customWidth="1"/>
    <col min="2" max="2" width="15.5546875" customWidth="1"/>
    <col min="3" max="3" width="11.6640625" customWidth="1"/>
    <col min="4" max="4" width="11.77734375" bestFit="1" customWidth="1"/>
    <col min="5" max="5" width="16" customWidth="1"/>
    <col min="6" max="6" width="12.44140625" customWidth="1"/>
  </cols>
  <sheetData>
    <row r="1" spans="1:6" x14ac:dyDescent="0.3">
      <c r="A1" t="s">
        <v>4</v>
      </c>
      <c r="B1" t="s">
        <v>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>
        <v>5000</v>
      </c>
      <c r="B2" s="1">
        <v>45658</v>
      </c>
      <c r="C2" s="6">
        <f>WEEKDAY(B2,1)</f>
        <v>4</v>
      </c>
      <c r="D2">
        <f>WEEKNUM(B2,2)</f>
        <v>1</v>
      </c>
      <c r="E2" s="1">
        <f>EDATE(B2,5)</f>
        <v>45809</v>
      </c>
      <c r="F2" s="1">
        <f>EOMONTH(B2,3)</f>
        <v>45777</v>
      </c>
    </row>
    <row r="3" spans="1:6" x14ac:dyDescent="0.3">
      <c r="A3">
        <v>3500</v>
      </c>
      <c r="B3" s="1">
        <v>45757</v>
      </c>
      <c r="C3" s="6">
        <f t="shared" ref="C3:C9" si="0">WEEKDAY(B3,1)</f>
        <v>5</v>
      </c>
      <c r="D3">
        <f t="shared" ref="D3:D9" si="1">WEEKNUM(B3,2)</f>
        <v>15</v>
      </c>
      <c r="E3" s="1">
        <f t="shared" ref="E3:E9" si="2">EDATE(B3,5)</f>
        <v>45910</v>
      </c>
      <c r="F3" s="1">
        <f t="shared" ref="F3:F9" si="3">EOMONTH(B3,3)</f>
        <v>45869</v>
      </c>
    </row>
    <row r="4" spans="1:6" x14ac:dyDescent="0.3">
      <c r="A4">
        <v>1500</v>
      </c>
      <c r="B4" s="1">
        <v>45721</v>
      </c>
      <c r="C4" s="6">
        <f t="shared" si="0"/>
        <v>4</v>
      </c>
      <c r="D4">
        <f t="shared" si="1"/>
        <v>10</v>
      </c>
      <c r="E4" s="1">
        <f t="shared" si="2"/>
        <v>45874</v>
      </c>
      <c r="F4" s="1">
        <f t="shared" si="3"/>
        <v>45838</v>
      </c>
    </row>
    <row r="5" spans="1:6" x14ac:dyDescent="0.3">
      <c r="A5">
        <v>6500</v>
      </c>
      <c r="B5" s="1">
        <v>45683</v>
      </c>
      <c r="C5" s="6">
        <f t="shared" si="0"/>
        <v>1</v>
      </c>
      <c r="D5">
        <f t="shared" si="1"/>
        <v>4</v>
      </c>
      <c r="E5" s="1">
        <f t="shared" si="2"/>
        <v>45834</v>
      </c>
      <c r="F5" s="1">
        <f t="shared" si="3"/>
        <v>45777</v>
      </c>
    </row>
    <row r="6" spans="1:6" x14ac:dyDescent="0.3">
      <c r="A6">
        <v>2800</v>
      </c>
      <c r="B6" s="1">
        <v>45916</v>
      </c>
      <c r="C6" s="6">
        <f t="shared" si="0"/>
        <v>3</v>
      </c>
      <c r="D6">
        <f t="shared" si="1"/>
        <v>38</v>
      </c>
      <c r="E6" s="1">
        <f t="shared" si="2"/>
        <v>46069</v>
      </c>
      <c r="F6" s="1">
        <f t="shared" si="3"/>
        <v>46022</v>
      </c>
    </row>
    <row r="7" spans="1:6" x14ac:dyDescent="0.3">
      <c r="A7">
        <v>35000</v>
      </c>
      <c r="B7" s="1">
        <v>45677</v>
      </c>
      <c r="C7" s="6">
        <f t="shared" si="0"/>
        <v>2</v>
      </c>
      <c r="D7">
        <f t="shared" si="1"/>
        <v>4</v>
      </c>
      <c r="E7" s="1">
        <f t="shared" si="2"/>
        <v>45828</v>
      </c>
      <c r="F7" s="1">
        <f t="shared" si="3"/>
        <v>45777</v>
      </c>
    </row>
    <row r="8" spans="1:6" x14ac:dyDescent="0.3">
      <c r="A8">
        <v>6000</v>
      </c>
      <c r="B8" s="1">
        <v>45663</v>
      </c>
      <c r="C8" s="6">
        <f t="shared" si="0"/>
        <v>2</v>
      </c>
      <c r="D8">
        <f t="shared" si="1"/>
        <v>2</v>
      </c>
      <c r="E8" s="1">
        <f t="shared" si="2"/>
        <v>45814</v>
      </c>
      <c r="F8" s="1">
        <f t="shared" si="3"/>
        <v>45777</v>
      </c>
    </row>
    <row r="9" spans="1:6" x14ac:dyDescent="0.3">
      <c r="A9">
        <v>2500</v>
      </c>
      <c r="B9" s="1">
        <v>45891</v>
      </c>
      <c r="C9" s="6">
        <f t="shared" si="0"/>
        <v>6</v>
      </c>
      <c r="D9">
        <f t="shared" si="1"/>
        <v>34</v>
      </c>
      <c r="E9" s="1">
        <f t="shared" si="2"/>
        <v>46044</v>
      </c>
      <c r="F9" s="1">
        <f t="shared" si="3"/>
        <v>45991</v>
      </c>
    </row>
    <row r="10" spans="1:6" x14ac:dyDescent="0.3">
      <c r="A10" s="1"/>
    </row>
    <row r="11" spans="1:6" x14ac:dyDescent="0.3">
      <c r="A11" s="1"/>
    </row>
    <row r="12" spans="1:6" x14ac:dyDescent="0.3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Date1</vt:lpstr>
      <vt:lpstr>Datedif</vt:lpstr>
      <vt:lpstr>Networkdays</vt:lpstr>
      <vt:lpstr>E-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2025-01-11T08:34:25Z</dcterms:created>
  <dcterms:modified xsi:type="dcterms:W3CDTF">2025-01-11T13:27:54Z</dcterms:modified>
</cp:coreProperties>
</file>