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- 6 -Most Useful Formulas\"/>
    </mc:Choice>
  </mc:AlternateContent>
  <xr:revisionPtr revIDLastSave="0" documentId="13_ncr:1_{10968876-B625-4E55-9A41-4F26B2206CAC}" xr6:coauthVersionLast="47" xr6:coauthVersionMax="47" xr10:uidLastSave="{00000000-0000-0000-0000-000000000000}"/>
  <bookViews>
    <workbookView xWindow="22932" yWindow="-108" windowWidth="23256" windowHeight="13176" xr2:uid="{F79759BB-2529-4DE9-B846-744F2ABA5466}"/>
  </bookViews>
  <sheets>
    <sheet name="Property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K19" i="1"/>
  <c r="L19" i="1"/>
  <c r="J19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K8" i="1"/>
  <c r="L8" i="1"/>
  <c r="J8" i="1"/>
  <c r="J3" i="1"/>
  <c r="J4" i="1"/>
  <c r="J2" i="1"/>
</calcChain>
</file>

<file path=xl/sharedStrings.xml><?xml version="1.0" encoding="utf-8"?>
<sst xmlns="http://schemas.openxmlformats.org/spreadsheetml/2006/main" count="638" uniqueCount="26">
  <si>
    <t>City</t>
  </si>
  <si>
    <t>Property Type</t>
  </si>
  <si>
    <t xml:space="preserve"> Price (INR) </t>
  </si>
  <si>
    <t>Area (sq. ft.)</t>
  </si>
  <si>
    <t>Sale Status</t>
  </si>
  <si>
    <t>Sale Date</t>
  </si>
  <si>
    <t>Delhi</t>
  </si>
  <si>
    <t>Villa</t>
  </si>
  <si>
    <t>Under Negotiation</t>
  </si>
  <si>
    <t>Hyderabad</t>
  </si>
  <si>
    <t>Apartment</t>
  </si>
  <si>
    <t>Available</t>
  </si>
  <si>
    <t>Bangalore</t>
  </si>
  <si>
    <t>Plot</t>
  </si>
  <si>
    <t>Pune</t>
  </si>
  <si>
    <t>Independent House</t>
  </si>
  <si>
    <t>Chennai</t>
  </si>
  <si>
    <t>Studio</t>
  </si>
  <si>
    <t>Sold</t>
  </si>
  <si>
    <t>Mumbai</t>
  </si>
  <si>
    <t>Ahmedabad</t>
  </si>
  <si>
    <t>Kolkata</t>
  </si>
  <si>
    <t>Area</t>
  </si>
  <si>
    <t>AVERAGEIFS</t>
  </si>
  <si>
    <t>AVERAGEIF</t>
  </si>
  <si>
    <t>MAXIFS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</si>
</sst>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4" fontId="0" fillId="0" borderId="1" xfId="0" applyNumberFormat="1" applyBorder="1"/>
    <xf numFmtId="14" fontId="0" fillId="0" borderId="1" xfId="0" applyNumberFormat="1" applyBorder="1"/>
    <xf numFmtId="2" fontId="0" fillId="0" borderId="1" xfId="0" applyNumberFormat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51D7-E473-4D26-8946-7A95E9965874}">
  <dimension ref="A1:L201"/>
  <sheetViews>
    <sheetView tabSelected="1" topLeftCell="E1" zoomScale="145" zoomScaleNormal="145" workbookViewId="0">
      <selection activeCell="G6" sqref="G6"/>
    </sheetView>
  </sheetViews>
  <sheetFormatPr defaultRowHeight="14.4" x14ac:dyDescent="0.3"/>
  <cols>
    <col min="1" max="1" width="10.6640625" bestFit="1" customWidth="1"/>
    <col min="2" max="2" width="16.6640625" bestFit="1" customWidth="1"/>
    <col min="3" max="3" width="13.77734375" bestFit="1" customWidth="1"/>
    <col min="4" max="4" width="11.77734375" customWidth="1"/>
    <col min="5" max="5" width="15.5546875" bestFit="1" customWidth="1"/>
    <col min="6" max="6" width="10.6640625" bestFit="1" customWidth="1"/>
    <col min="9" max="9" width="16.6640625" customWidth="1"/>
    <col min="10" max="10" width="17.5546875" bestFit="1" customWidth="1"/>
    <col min="11" max="12" width="13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1" t="s">
        <v>4</v>
      </c>
      <c r="J1" s="1" t="s">
        <v>22</v>
      </c>
      <c r="K1" s="6" t="s">
        <v>24</v>
      </c>
    </row>
    <row r="2" spans="1:12" x14ac:dyDescent="0.3">
      <c r="A2" s="2" t="s">
        <v>6</v>
      </c>
      <c r="B2" s="2" t="s">
        <v>7</v>
      </c>
      <c r="C2" s="3">
        <v>21900000</v>
      </c>
      <c r="D2" s="2">
        <v>3558</v>
      </c>
      <c r="E2" s="2" t="s">
        <v>8</v>
      </c>
      <c r="F2" s="4">
        <v>45337</v>
      </c>
      <c r="I2" s="2" t="s">
        <v>8</v>
      </c>
      <c r="J2" s="5">
        <f>AVERAGEIF(E:E,I2,D:D)</f>
        <v>2273.4126984126983</v>
      </c>
    </row>
    <row r="3" spans="1:12" x14ac:dyDescent="0.3">
      <c r="A3" s="2" t="s">
        <v>9</v>
      </c>
      <c r="B3" s="2" t="s">
        <v>10</v>
      </c>
      <c r="C3" s="3">
        <v>15300000</v>
      </c>
      <c r="D3" s="2">
        <v>3115</v>
      </c>
      <c r="E3" s="2" t="s">
        <v>11</v>
      </c>
      <c r="F3" s="4">
        <v>45473</v>
      </c>
      <c r="I3" s="2" t="s">
        <v>11</v>
      </c>
      <c r="J3" s="5">
        <f t="shared" ref="J3:J4" si="0">AVERAGEIF(E:E,I3,D:D)</f>
        <v>2553.9230769230771</v>
      </c>
    </row>
    <row r="4" spans="1:12" x14ac:dyDescent="0.3">
      <c r="A4" s="2" t="s">
        <v>12</v>
      </c>
      <c r="B4" s="2" t="s">
        <v>13</v>
      </c>
      <c r="C4" s="3">
        <v>11300000</v>
      </c>
      <c r="D4" s="2">
        <v>2953</v>
      </c>
      <c r="E4" s="2" t="s">
        <v>8</v>
      </c>
      <c r="F4" s="4">
        <v>45338</v>
      </c>
      <c r="I4" s="2" t="s">
        <v>18</v>
      </c>
      <c r="J4" s="5">
        <f t="shared" si="0"/>
        <v>2107</v>
      </c>
    </row>
    <row r="5" spans="1:12" x14ac:dyDescent="0.3">
      <c r="A5" s="2" t="s">
        <v>14</v>
      </c>
      <c r="B5" s="2" t="s">
        <v>15</v>
      </c>
      <c r="C5" s="3">
        <v>21800000</v>
      </c>
      <c r="D5" s="2">
        <v>1958</v>
      </c>
      <c r="E5" s="2" t="s">
        <v>8</v>
      </c>
      <c r="F5" s="4">
        <v>45391</v>
      </c>
    </row>
    <row r="6" spans="1:12" x14ac:dyDescent="0.3">
      <c r="A6" s="2" t="s">
        <v>16</v>
      </c>
      <c r="B6" s="2" t="s">
        <v>17</v>
      </c>
      <c r="C6" s="3">
        <v>10700000</v>
      </c>
      <c r="D6" s="2">
        <v>1103</v>
      </c>
      <c r="E6" s="2" t="s">
        <v>18</v>
      </c>
      <c r="F6" s="4">
        <v>45400</v>
      </c>
      <c r="I6" t="s">
        <v>23</v>
      </c>
    </row>
    <row r="7" spans="1:12" x14ac:dyDescent="0.3">
      <c r="A7" s="2" t="s">
        <v>6</v>
      </c>
      <c r="B7" s="2" t="s">
        <v>7</v>
      </c>
      <c r="C7" s="3">
        <v>21600000</v>
      </c>
      <c r="D7" s="2">
        <v>2351</v>
      </c>
      <c r="E7" s="2" t="s">
        <v>18</v>
      </c>
      <c r="F7" s="4">
        <v>45370</v>
      </c>
      <c r="I7" s="1" t="s">
        <v>0</v>
      </c>
      <c r="J7" s="2" t="s">
        <v>8</v>
      </c>
      <c r="K7" s="2" t="s">
        <v>11</v>
      </c>
      <c r="L7" s="2" t="s">
        <v>18</v>
      </c>
    </row>
    <row r="8" spans="1:12" x14ac:dyDescent="0.3">
      <c r="A8" s="2" t="s">
        <v>16</v>
      </c>
      <c r="B8" s="2" t="s">
        <v>13</v>
      </c>
      <c r="C8" s="3">
        <v>9400000</v>
      </c>
      <c r="D8" s="2">
        <v>674</v>
      </c>
      <c r="E8" s="2" t="s">
        <v>8</v>
      </c>
      <c r="F8" s="4">
        <v>45406</v>
      </c>
      <c r="I8" s="2" t="s">
        <v>6</v>
      </c>
      <c r="J8" s="5">
        <f>AVERAGEIFS($D:$D,$A:$A,$I8,$E:$E,J$7)</f>
        <v>2457.1538461538462</v>
      </c>
      <c r="K8" s="5">
        <f t="shared" ref="K8:L15" si="1">AVERAGEIFS($D:$D,$A:$A,$I8,$E:$E,K$7)</f>
        <v>2498.875</v>
      </c>
      <c r="L8" s="5">
        <f t="shared" si="1"/>
        <v>1970.8888888888889</v>
      </c>
    </row>
    <row r="9" spans="1:12" x14ac:dyDescent="0.3">
      <c r="A9" s="2" t="s">
        <v>9</v>
      </c>
      <c r="B9" s="2" t="s">
        <v>10</v>
      </c>
      <c r="C9" s="3">
        <v>10200000</v>
      </c>
      <c r="D9" s="2">
        <v>3582</v>
      </c>
      <c r="E9" s="2" t="s">
        <v>11</v>
      </c>
      <c r="F9" s="4">
        <v>45334</v>
      </c>
      <c r="I9" s="2" t="s">
        <v>9</v>
      </c>
      <c r="J9" s="5">
        <f t="shared" ref="J9:J15" si="2">AVERAGEIFS($D:$D,$A:$A,$I9,$E:$E,J$7)</f>
        <v>2468.625</v>
      </c>
      <c r="K9" s="5">
        <f t="shared" si="1"/>
        <v>3028.7692307692309</v>
      </c>
      <c r="L9" s="5">
        <f t="shared" si="1"/>
        <v>1884.375</v>
      </c>
    </row>
    <row r="10" spans="1:12" x14ac:dyDescent="0.3">
      <c r="A10" s="2" t="s">
        <v>9</v>
      </c>
      <c r="B10" s="2" t="s">
        <v>17</v>
      </c>
      <c r="C10" s="3">
        <v>13800000</v>
      </c>
      <c r="D10" s="2">
        <v>999</v>
      </c>
      <c r="E10" s="2" t="s">
        <v>18</v>
      </c>
      <c r="F10" s="4">
        <v>45454</v>
      </c>
      <c r="I10" s="2" t="s">
        <v>12</v>
      </c>
      <c r="J10" s="5">
        <f t="shared" si="2"/>
        <v>2203.375</v>
      </c>
      <c r="K10" s="5">
        <f t="shared" si="1"/>
        <v>2418.6666666666665</v>
      </c>
      <c r="L10" s="5">
        <f t="shared" si="1"/>
        <v>1745.5555555555557</v>
      </c>
    </row>
    <row r="11" spans="1:12" x14ac:dyDescent="0.3">
      <c r="A11" s="2" t="s">
        <v>16</v>
      </c>
      <c r="B11" s="2" t="s">
        <v>17</v>
      </c>
      <c r="C11" s="3">
        <v>14300000</v>
      </c>
      <c r="D11" s="2">
        <v>2155</v>
      </c>
      <c r="E11" s="2" t="s">
        <v>11</v>
      </c>
      <c r="F11" s="4">
        <v>45380</v>
      </c>
      <c r="I11" s="2" t="s">
        <v>14</v>
      </c>
      <c r="J11" s="5">
        <f t="shared" si="2"/>
        <v>2754.5555555555557</v>
      </c>
      <c r="K11" s="5">
        <f t="shared" si="1"/>
        <v>3286.1666666666665</v>
      </c>
      <c r="L11" s="5">
        <f t="shared" si="1"/>
        <v>2245.1666666666665</v>
      </c>
    </row>
    <row r="12" spans="1:12" x14ac:dyDescent="0.3">
      <c r="A12" s="2" t="s">
        <v>12</v>
      </c>
      <c r="B12" s="2" t="s">
        <v>13</v>
      </c>
      <c r="C12" s="3">
        <v>16800000</v>
      </c>
      <c r="D12" s="2">
        <v>1546</v>
      </c>
      <c r="E12" s="2" t="s">
        <v>8</v>
      </c>
      <c r="F12" s="4">
        <v>45295</v>
      </c>
      <c r="I12" s="2" t="s">
        <v>16</v>
      </c>
      <c r="J12" s="5">
        <f t="shared" si="2"/>
        <v>1833.1428571428571</v>
      </c>
      <c r="K12" s="5">
        <f t="shared" si="1"/>
        <v>1940.3333333333333</v>
      </c>
      <c r="L12" s="5">
        <f t="shared" si="1"/>
        <v>2046</v>
      </c>
    </row>
    <row r="13" spans="1:12" x14ac:dyDescent="0.3">
      <c r="A13" s="2" t="s">
        <v>14</v>
      </c>
      <c r="B13" s="2" t="s">
        <v>13</v>
      </c>
      <c r="C13" s="3">
        <v>22000000</v>
      </c>
      <c r="D13" s="2">
        <v>3153</v>
      </c>
      <c r="E13" s="2" t="s">
        <v>8</v>
      </c>
      <c r="F13" s="4">
        <v>45374</v>
      </c>
      <c r="I13" s="2" t="s">
        <v>19</v>
      </c>
      <c r="J13" s="5">
        <f t="shared" si="2"/>
        <v>2347.6666666666665</v>
      </c>
      <c r="K13" s="5">
        <f t="shared" si="1"/>
        <v>2467.090909090909</v>
      </c>
      <c r="L13" s="5">
        <f t="shared" si="1"/>
        <v>2109.4</v>
      </c>
    </row>
    <row r="14" spans="1:12" x14ac:dyDescent="0.3">
      <c r="A14" s="2" t="s">
        <v>19</v>
      </c>
      <c r="B14" s="2" t="s">
        <v>17</v>
      </c>
      <c r="C14" s="3">
        <v>12000000</v>
      </c>
      <c r="D14" s="2">
        <v>1069</v>
      </c>
      <c r="E14" s="2" t="s">
        <v>11</v>
      </c>
      <c r="F14" s="4">
        <v>45388</v>
      </c>
      <c r="I14" s="2" t="s">
        <v>20</v>
      </c>
      <c r="J14" s="5">
        <f t="shared" si="2"/>
        <v>2225</v>
      </c>
      <c r="K14" s="5">
        <f t="shared" si="1"/>
        <v>2497</v>
      </c>
      <c r="L14" s="5">
        <f t="shared" si="1"/>
        <v>2086.181818181818</v>
      </c>
    </row>
    <row r="15" spans="1:12" x14ac:dyDescent="0.3">
      <c r="A15" s="2" t="s">
        <v>20</v>
      </c>
      <c r="B15" s="2" t="s">
        <v>15</v>
      </c>
      <c r="C15" s="3">
        <v>17700000</v>
      </c>
      <c r="D15" s="2">
        <v>3924</v>
      </c>
      <c r="E15" s="2" t="s">
        <v>11</v>
      </c>
      <c r="F15" s="4">
        <v>45345</v>
      </c>
      <c r="I15" s="2" t="s">
        <v>21</v>
      </c>
      <c r="J15" s="5">
        <f t="shared" si="2"/>
        <v>1708.125</v>
      </c>
      <c r="K15" s="5">
        <f t="shared" si="1"/>
        <v>1898.8333333333333</v>
      </c>
      <c r="L15" s="5">
        <f t="shared" si="1"/>
        <v>2785.5</v>
      </c>
    </row>
    <row r="16" spans="1:12" x14ac:dyDescent="0.3">
      <c r="A16" s="2" t="s">
        <v>19</v>
      </c>
      <c r="B16" s="2" t="s">
        <v>17</v>
      </c>
      <c r="C16" s="3">
        <v>22200000</v>
      </c>
      <c r="D16" s="2">
        <v>3994</v>
      </c>
      <c r="E16" s="2" t="s">
        <v>11</v>
      </c>
      <c r="F16" s="4">
        <v>45449</v>
      </c>
    </row>
    <row r="17" spans="1:12" x14ac:dyDescent="0.3">
      <c r="A17" s="2" t="s">
        <v>6</v>
      </c>
      <c r="B17" s="2" t="s">
        <v>15</v>
      </c>
      <c r="C17" s="3">
        <v>7900000</v>
      </c>
      <c r="D17" s="2">
        <v>669</v>
      </c>
      <c r="E17" s="2" t="s">
        <v>18</v>
      </c>
      <c r="F17" s="4">
        <v>45302</v>
      </c>
      <c r="I17" t="s">
        <v>25</v>
      </c>
    </row>
    <row r="18" spans="1:12" x14ac:dyDescent="0.3">
      <c r="A18" s="2" t="s">
        <v>16</v>
      </c>
      <c r="B18" s="2" t="s">
        <v>17</v>
      </c>
      <c r="C18" s="3">
        <v>15000000</v>
      </c>
      <c r="D18" s="2">
        <v>760</v>
      </c>
      <c r="E18" s="2" t="s">
        <v>18</v>
      </c>
      <c r="F18" s="4">
        <v>45395</v>
      </c>
      <c r="I18" s="1" t="s">
        <v>0</v>
      </c>
      <c r="J18" s="2" t="s">
        <v>8</v>
      </c>
      <c r="K18" s="2" t="s">
        <v>11</v>
      </c>
      <c r="L18" s="2" t="s">
        <v>18</v>
      </c>
    </row>
    <row r="19" spans="1:12" x14ac:dyDescent="0.3">
      <c r="A19" s="2" t="s">
        <v>20</v>
      </c>
      <c r="B19" s="2" t="s">
        <v>15</v>
      </c>
      <c r="C19" s="3">
        <v>7800000</v>
      </c>
      <c r="D19" s="2">
        <v>1499</v>
      </c>
      <c r="E19" s="2" t="s">
        <v>11</v>
      </c>
      <c r="F19" s="4">
        <v>45429</v>
      </c>
      <c r="I19" s="2" t="s">
        <v>6</v>
      </c>
      <c r="J19" s="5">
        <f>_xlfn.MINIFS($D:$D,$A:$A,$I19,$E:$E,J$18)</f>
        <v>848</v>
      </c>
      <c r="K19" s="5">
        <f t="shared" ref="K19:L26" si="3">_xlfn.MINIFS($D:$D,$A:$A,$I19,$E:$E,K$18)</f>
        <v>810</v>
      </c>
      <c r="L19" s="5">
        <f t="shared" si="3"/>
        <v>669</v>
      </c>
    </row>
    <row r="20" spans="1:12" x14ac:dyDescent="0.3">
      <c r="A20" s="2" t="s">
        <v>9</v>
      </c>
      <c r="B20" s="2" t="s">
        <v>7</v>
      </c>
      <c r="C20" s="3">
        <v>26100000</v>
      </c>
      <c r="D20" s="2">
        <v>2774</v>
      </c>
      <c r="E20" s="2" t="s">
        <v>8</v>
      </c>
      <c r="F20" s="4">
        <v>45388</v>
      </c>
      <c r="I20" s="2" t="s">
        <v>9</v>
      </c>
      <c r="J20" s="5">
        <f t="shared" ref="J20:J26" si="4">_xlfn.MINIFS($D:$D,$A:$A,$I20,$E:$E,J$18)</f>
        <v>585</v>
      </c>
      <c r="K20" s="5">
        <f t="shared" si="3"/>
        <v>1500</v>
      </c>
      <c r="L20" s="5">
        <f t="shared" si="3"/>
        <v>835</v>
      </c>
    </row>
    <row r="21" spans="1:12" x14ac:dyDescent="0.3">
      <c r="A21" s="2" t="s">
        <v>19</v>
      </c>
      <c r="B21" s="2" t="s">
        <v>7</v>
      </c>
      <c r="C21" s="3">
        <v>23600000</v>
      </c>
      <c r="D21" s="2">
        <v>2149</v>
      </c>
      <c r="E21" s="2" t="s">
        <v>18</v>
      </c>
      <c r="F21" s="4">
        <v>45296</v>
      </c>
      <c r="I21" s="2" t="s">
        <v>12</v>
      </c>
      <c r="J21" s="5">
        <f t="shared" si="4"/>
        <v>952</v>
      </c>
      <c r="K21" s="5">
        <f t="shared" si="3"/>
        <v>1205</v>
      </c>
      <c r="L21" s="5">
        <f t="shared" si="3"/>
        <v>574</v>
      </c>
    </row>
    <row r="22" spans="1:12" x14ac:dyDescent="0.3">
      <c r="A22" s="2" t="s">
        <v>21</v>
      </c>
      <c r="B22" s="2" t="s">
        <v>17</v>
      </c>
      <c r="C22" s="3">
        <v>29900000</v>
      </c>
      <c r="D22" s="2">
        <v>3830</v>
      </c>
      <c r="E22" s="2" t="s">
        <v>18</v>
      </c>
      <c r="F22" s="4">
        <v>45465</v>
      </c>
      <c r="I22" s="2" t="s">
        <v>14</v>
      </c>
      <c r="J22" s="5">
        <f t="shared" si="4"/>
        <v>1258</v>
      </c>
      <c r="K22" s="5">
        <f t="shared" si="3"/>
        <v>2554</v>
      </c>
      <c r="L22" s="5">
        <f t="shared" si="3"/>
        <v>934</v>
      </c>
    </row>
    <row r="23" spans="1:12" x14ac:dyDescent="0.3">
      <c r="A23" s="2" t="s">
        <v>16</v>
      </c>
      <c r="B23" s="2" t="s">
        <v>15</v>
      </c>
      <c r="C23" s="3">
        <v>24100000</v>
      </c>
      <c r="D23" s="2">
        <v>2307</v>
      </c>
      <c r="E23" s="2" t="s">
        <v>8</v>
      </c>
      <c r="F23" s="4">
        <v>45360</v>
      </c>
      <c r="I23" s="2" t="s">
        <v>16</v>
      </c>
      <c r="J23" s="5">
        <f t="shared" si="4"/>
        <v>674</v>
      </c>
      <c r="K23" s="5">
        <f t="shared" si="3"/>
        <v>792</v>
      </c>
      <c r="L23" s="5">
        <f t="shared" si="3"/>
        <v>760</v>
      </c>
    </row>
    <row r="24" spans="1:12" x14ac:dyDescent="0.3">
      <c r="A24" s="2" t="s">
        <v>16</v>
      </c>
      <c r="B24" s="2" t="s">
        <v>15</v>
      </c>
      <c r="C24" s="3">
        <v>14400000</v>
      </c>
      <c r="D24" s="2">
        <v>1440</v>
      </c>
      <c r="E24" s="2" t="s">
        <v>8</v>
      </c>
      <c r="F24" s="4">
        <v>45453</v>
      </c>
      <c r="I24" s="2" t="s">
        <v>19</v>
      </c>
      <c r="J24" s="5">
        <f t="shared" si="4"/>
        <v>1901</v>
      </c>
      <c r="K24" s="5">
        <f t="shared" si="3"/>
        <v>981</v>
      </c>
      <c r="L24" s="5">
        <f t="shared" si="3"/>
        <v>932</v>
      </c>
    </row>
    <row r="25" spans="1:12" x14ac:dyDescent="0.3">
      <c r="A25" s="2" t="s">
        <v>19</v>
      </c>
      <c r="B25" s="2" t="s">
        <v>15</v>
      </c>
      <c r="C25" s="3">
        <v>13000000</v>
      </c>
      <c r="D25" s="2">
        <v>2845</v>
      </c>
      <c r="E25" s="2" t="s">
        <v>11</v>
      </c>
      <c r="F25" s="4">
        <v>45321</v>
      </c>
      <c r="I25" s="2" t="s">
        <v>20</v>
      </c>
      <c r="J25" s="5">
        <f t="shared" si="4"/>
        <v>639</v>
      </c>
      <c r="K25" s="5">
        <f t="shared" si="3"/>
        <v>1252</v>
      </c>
      <c r="L25" s="5">
        <f t="shared" si="3"/>
        <v>558</v>
      </c>
    </row>
    <row r="26" spans="1:12" x14ac:dyDescent="0.3">
      <c r="A26" s="2" t="s">
        <v>14</v>
      </c>
      <c r="B26" s="2" t="s">
        <v>7</v>
      </c>
      <c r="C26" s="3">
        <v>13900000</v>
      </c>
      <c r="D26" s="2">
        <v>3610</v>
      </c>
      <c r="E26" s="2" t="s">
        <v>11</v>
      </c>
      <c r="F26" s="4">
        <v>45408</v>
      </c>
      <c r="I26" s="2" t="s">
        <v>21</v>
      </c>
      <c r="J26" s="5">
        <f t="shared" si="4"/>
        <v>1377</v>
      </c>
      <c r="K26" s="5">
        <f t="shared" si="3"/>
        <v>560</v>
      </c>
      <c r="L26" s="5">
        <f t="shared" si="3"/>
        <v>1357</v>
      </c>
    </row>
    <row r="27" spans="1:12" x14ac:dyDescent="0.3">
      <c r="A27" s="2" t="s">
        <v>21</v>
      </c>
      <c r="B27" s="2" t="s">
        <v>7</v>
      </c>
      <c r="C27" s="3">
        <v>23600000</v>
      </c>
      <c r="D27" s="2">
        <v>1512</v>
      </c>
      <c r="E27" s="2" t="s">
        <v>8</v>
      </c>
      <c r="F27" s="4">
        <v>45305</v>
      </c>
    </row>
    <row r="28" spans="1:12" x14ac:dyDescent="0.3">
      <c r="A28" s="2" t="s">
        <v>12</v>
      </c>
      <c r="B28" s="2" t="s">
        <v>7</v>
      </c>
      <c r="C28" s="3">
        <v>28200000</v>
      </c>
      <c r="D28" s="2">
        <v>3384</v>
      </c>
      <c r="E28" s="2" t="s">
        <v>11</v>
      </c>
      <c r="F28" s="4">
        <v>45365</v>
      </c>
    </row>
    <row r="29" spans="1:12" x14ac:dyDescent="0.3">
      <c r="A29" s="2" t="s">
        <v>6</v>
      </c>
      <c r="B29" s="2" t="s">
        <v>13</v>
      </c>
      <c r="C29" s="3">
        <v>11800000</v>
      </c>
      <c r="D29" s="2">
        <v>2456</v>
      </c>
      <c r="E29" s="2" t="s">
        <v>18</v>
      </c>
      <c r="F29" s="4">
        <v>45422</v>
      </c>
    </row>
    <row r="30" spans="1:12" x14ac:dyDescent="0.3">
      <c r="A30" s="2" t="s">
        <v>9</v>
      </c>
      <c r="B30" s="2" t="s">
        <v>10</v>
      </c>
      <c r="C30" s="3">
        <v>23800000</v>
      </c>
      <c r="D30" s="2">
        <v>3489</v>
      </c>
      <c r="E30" s="2" t="s">
        <v>18</v>
      </c>
      <c r="F30" s="4">
        <v>45404</v>
      </c>
    </row>
    <row r="31" spans="1:12" x14ac:dyDescent="0.3">
      <c r="A31" s="2" t="s">
        <v>14</v>
      </c>
      <c r="B31" s="2" t="s">
        <v>15</v>
      </c>
      <c r="C31" s="3">
        <v>6600000</v>
      </c>
      <c r="D31" s="2">
        <v>3997</v>
      </c>
      <c r="E31" s="2" t="s">
        <v>8</v>
      </c>
      <c r="F31" s="4">
        <v>45431</v>
      </c>
    </row>
    <row r="32" spans="1:12" x14ac:dyDescent="0.3">
      <c r="A32" s="2" t="s">
        <v>6</v>
      </c>
      <c r="B32" s="2" t="s">
        <v>7</v>
      </c>
      <c r="C32" s="3">
        <v>18900000</v>
      </c>
      <c r="D32" s="2">
        <v>1088</v>
      </c>
      <c r="E32" s="2" t="s">
        <v>8</v>
      </c>
      <c r="F32" s="4">
        <v>45349</v>
      </c>
    </row>
    <row r="33" spans="1:6" x14ac:dyDescent="0.3">
      <c r="A33" s="2" t="s">
        <v>19</v>
      </c>
      <c r="B33" s="2" t="s">
        <v>17</v>
      </c>
      <c r="C33" s="3">
        <v>3800000</v>
      </c>
      <c r="D33" s="2">
        <v>2149</v>
      </c>
      <c r="E33" s="2" t="s">
        <v>11</v>
      </c>
      <c r="F33" s="4">
        <v>45442</v>
      </c>
    </row>
    <row r="34" spans="1:6" x14ac:dyDescent="0.3">
      <c r="A34" s="2" t="s">
        <v>9</v>
      </c>
      <c r="B34" s="2" t="s">
        <v>7</v>
      </c>
      <c r="C34" s="3">
        <v>11600000</v>
      </c>
      <c r="D34" s="2">
        <v>3268</v>
      </c>
      <c r="E34" s="2" t="s">
        <v>11</v>
      </c>
      <c r="F34" s="4">
        <v>45362</v>
      </c>
    </row>
    <row r="35" spans="1:6" x14ac:dyDescent="0.3">
      <c r="A35" s="2" t="s">
        <v>9</v>
      </c>
      <c r="B35" s="2" t="s">
        <v>10</v>
      </c>
      <c r="C35" s="3">
        <v>4600000</v>
      </c>
      <c r="D35" s="2">
        <v>3024</v>
      </c>
      <c r="E35" s="2" t="s">
        <v>11</v>
      </c>
      <c r="F35" s="4">
        <v>45448</v>
      </c>
    </row>
    <row r="36" spans="1:6" x14ac:dyDescent="0.3">
      <c r="A36" s="2" t="s">
        <v>21</v>
      </c>
      <c r="B36" s="2" t="s">
        <v>15</v>
      </c>
      <c r="C36" s="3">
        <v>24600000</v>
      </c>
      <c r="D36" s="2">
        <v>3204</v>
      </c>
      <c r="E36" s="2" t="s">
        <v>11</v>
      </c>
      <c r="F36" s="4">
        <v>45446</v>
      </c>
    </row>
    <row r="37" spans="1:6" x14ac:dyDescent="0.3">
      <c r="A37" s="2" t="s">
        <v>16</v>
      </c>
      <c r="B37" s="2" t="s">
        <v>17</v>
      </c>
      <c r="C37" s="3">
        <v>3400000</v>
      </c>
      <c r="D37" s="2">
        <v>1656</v>
      </c>
      <c r="E37" s="2" t="s">
        <v>8</v>
      </c>
      <c r="F37" s="4">
        <v>45385</v>
      </c>
    </row>
    <row r="38" spans="1:6" x14ac:dyDescent="0.3">
      <c r="A38" s="2" t="s">
        <v>20</v>
      </c>
      <c r="B38" s="2" t="s">
        <v>10</v>
      </c>
      <c r="C38" s="3">
        <v>19800000</v>
      </c>
      <c r="D38" s="2">
        <v>3373</v>
      </c>
      <c r="E38" s="2" t="s">
        <v>11</v>
      </c>
      <c r="F38" s="4">
        <v>45387</v>
      </c>
    </row>
    <row r="39" spans="1:6" x14ac:dyDescent="0.3">
      <c r="A39" s="2" t="s">
        <v>20</v>
      </c>
      <c r="B39" s="2" t="s">
        <v>7</v>
      </c>
      <c r="C39" s="3">
        <v>12700000</v>
      </c>
      <c r="D39" s="2">
        <v>1602</v>
      </c>
      <c r="E39" s="2" t="s">
        <v>18</v>
      </c>
      <c r="F39" s="4">
        <v>45418</v>
      </c>
    </row>
    <row r="40" spans="1:6" x14ac:dyDescent="0.3">
      <c r="A40" s="2" t="s">
        <v>14</v>
      </c>
      <c r="B40" s="2" t="s">
        <v>15</v>
      </c>
      <c r="C40" s="3">
        <v>23800000</v>
      </c>
      <c r="D40" s="2">
        <v>1077</v>
      </c>
      <c r="E40" s="2" t="s">
        <v>18</v>
      </c>
      <c r="F40" s="4">
        <v>45335</v>
      </c>
    </row>
    <row r="41" spans="1:6" x14ac:dyDescent="0.3">
      <c r="A41" s="2" t="s">
        <v>16</v>
      </c>
      <c r="B41" s="2" t="s">
        <v>7</v>
      </c>
      <c r="C41" s="3">
        <v>15900000</v>
      </c>
      <c r="D41" s="2">
        <v>2120</v>
      </c>
      <c r="E41" s="2" t="s">
        <v>18</v>
      </c>
      <c r="F41" s="4">
        <v>45355</v>
      </c>
    </row>
    <row r="42" spans="1:6" x14ac:dyDescent="0.3">
      <c r="A42" s="2" t="s">
        <v>9</v>
      </c>
      <c r="B42" s="2" t="s">
        <v>17</v>
      </c>
      <c r="C42" s="3">
        <v>29300000</v>
      </c>
      <c r="D42" s="2">
        <v>3395</v>
      </c>
      <c r="E42" s="2" t="s">
        <v>11</v>
      </c>
      <c r="F42" s="4">
        <v>45427</v>
      </c>
    </row>
    <row r="43" spans="1:6" x14ac:dyDescent="0.3">
      <c r="A43" s="2" t="s">
        <v>9</v>
      </c>
      <c r="B43" s="2" t="s">
        <v>13</v>
      </c>
      <c r="C43" s="3">
        <v>28500000</v>
      </c>
      <c r="D43" s="2">
        <v>585</v>
      </c>
      <c r="E43" s="2" t="s">
        <v>8</v>
      </c>
      <c r="F43" s="4">
        <v>45421</v>
      </c>
    </row>
    <row r="44" spans="1:6" x14ac:dyDescent="0.3">
      <c r="A44" s="2" t="s">
        <v>16</v>
      </c>
      <c r="B44" s="2" t="s">
        <v>17</v>
      </c>
      <c r="C44" s="3">
        <v>23100000</v>
      </c>
      <c r="D44" s="2">
        <v>1284</v>
      </c>
      <c r="E44" s="2" t="s">
        <v>8</v>
      </c>
      <c r="F44" s="4">
        <v>45427</v>
      </c>
    </row>
    <row r="45" spans="1:6" x14ac:dyDescent="0.3">
      <c r="A45" s="2" t="s">
        <v>14</v>
      </c>
      <c r="B45" s="2" t="s">
        <v>17</v>
      </c>
      <c r="C45" s="3">
        <v>24200000</v>
      </c>
      <c r="D45" s="2">
        <v>2851</v>
      </c>
      <c r="E45" s="2" t="s">
        <v>18</v>
      </c>
      <c r="F45" s="4">
        <v>45447</v>
      </c>
    </row>
    <row r="46" spans="1:6" x14ac:dyDescent="0.3">
      <c r="A46" s="2" t="s">
        <v>16</v>
      </c>
      <c r="B46" s="2" t="s">
        <v>7</v>
      </c>
      <c r="C46" s="3">
        <v>18600000</v>
      </c>
      <c r="D46" s="2">
        <v>1503</v>
      </c>
      <c r="E46" s="2" t="s">
        <v>18</v>
      </c>
      <c r="F46" s="4">
        <v>45321</v>
      </c>
    </row>
    <row r="47" spans="1:6" x14ac:dyDescent="0.3">
      <c r="A47" s="2" t="s">
        <v>12</v>
      </c>
      <c r="B47" s="2" t="s">
        <v>17</v>
      </c>
      <c r="C47" s="3">
        <v>20900000</v>
      </c>
      <c r="D47" s="2">
        <v>1908</v>
      </c>
      <c r="E47" s="2" t="s">
        <v>18</v>
      </c>
      <c r="F47" s="4">
        <v>45331</v>
      </c>
    </row>
    <row r="48" spans="1:6" x14ac:dyDescent="0.3">
      <c r="A48" s="2" t="s">
        <v>12</v>
      </c>
      <c r="B48" s="2" t="s">
        <v>15</v>
      </c>
      <c r="C48" s="3">
        <v>10200000</v>
      </c>
      <c r="D48" s="2">
        <v>1943</v>
      </c>
      <c r="E48" s="2" t="s">
        <v>11</v>
      </c>
      <c r="F48" s="4">
        <v>45308</v>
      </c>
    </row>
    <row r="49" spans="1:6" x14ac:dyDescent="0.3">
      <c r="A49" s="2" t="s">
        <v>9</v>
      </c>
      <c r="B49" s="2" t="s">
        <v>17</v>
      </c>
      <c r="C49" s="3">
        <v>18200000</v>
      </c>
      <c r="D49" s="2">
        <v>1500</v>
      </c>
      <c r="E49" s="2" t="s">
        <v>11</v>
      </c>
      <c r="F49" s="4">
        <v>45316</v>
      </c>
    </row>
    <row r="50" spans="1:6" x14ac:dyDescent="0.3">
      <c r="A50" s="2" t="s">
        <v>21</v>
      </c>
      <c r="B50" s="2" t="s">
        <v>7</v>
      </c>
      <c r="C50" s="3">
        <v>29500000</v>
      </c>
      <c r="D50" s="2">
        <v>2915</v>
      </c>
      <c r="E50" s="2" t="s">
        <v>8</v>
      </c>
      <c r="F50" s="4">
        <v>45338</v>
      </c>
    </row>
    <row r="51" spans="1:6" x14ac:dyDescent="0.3">
      <c r="A51" s="2" t="s">
        <v>12</v>
      </c>
      <c r="B51" s="2" t="s">
        <v>13</v>
      </c>
      <c r="C51" s="3">
        <v>16500000</v>
      </c>
      <c r="D51" s="2">
        <v>1115</v>
      </c>
      <c r="E51" s="2" t="s">
        <v>18</v>
      </c>
      <c r="F51" s="4">
        <v>45395</v>
      </c>
    </row>
    <row r="52" spans="1:6" x14ac:dyDescent="0.3">
      <c r="A52" s="2" t="s">
        <v>12</v>
      </c>
      <c r="B52" s="2" t="s">
        <v>7</v>
      </c>
      <c r="C52" s="3">
        <v>4400000</v>
      </c>
      <c r="D52" s="2">
        <v>2691</v>
      </c>
      <c r="E52" s="2" t="s">
        <v>11</v>
      </c>
      <c r="F52" s="4">
        <v>45440</v>
      </c>
    </row>
    <row r="53" spans="1:6" x14ac:dyDescent="0.3">
      <c r="A53" s="2" t="s">
        <v>9</v>
      </c>
      <c r="B53" s="2" t="s">
        <v>13</v>
      </c>
      <c r="C53" s="3">
        <v>21300000</v>
      </c>
      <c r="D53" s="2">
        <v>2324</v>
      </c>
      <c r="E53" s="2" t="s">
        <v>8</v>
      </c>
      <c r="F53" s="4">
        <v>45292</v>
      </c>
    </row>
    <row r="54" spans="1:6" x14ac:dyDescent="0.3">
      <c r="A54" s="2" t="s">
        <v>21</v>
      </c>
      <c r="B54" s="2" t="s">
        <v>13</v>
      </c>
      <c r="C54" s="3">
        <v>21700000</v>
      </c>
      <c r="D54" s="2">
        <v>1406</v>
      </c>
      <c r="E54" s="2" t="s">
        <v>8</v>
      </c>
      <c r="F54" s="4">
        <v>45370</v>
      </c>
    </row>
    <row r="55" spans="1:6" x14ac:dyDescent="0.3">
      <c r="A55" s="2" t="s">
        <v>21</v>
      </c>
      <c r="B55" s="2" t="s">
        <v>15</v>
      </c>
      <c r="C55" s="3">
        <v>6400000</v>
      </c>
      <c r="D55" s="2">
        <v>1972</v>
      </c>
      <c r="E55" s="2" t="s">
        <v>11</v>
      </c>
      <c r="F55" s="4">
        <v>45370</v>
      </c>
    </row>
    <row r="56" spans="1:6" x14ac:dyDescent="0.3">
      <c r="A56" s="2" t="s">
        <v>6</v>
      </c>
      <c r="B56" s="2" t="s">
        <v>13</v>
      </c>
      <c r="C56" s="3">
        <v>17400000</v>
      </c>
      <c r="D56" s="2">
        <v>3612</v>
      </c>
      <c r="E56" s="2" t="s">
        <v>18</v>
      </c>
      <c r="F56" s="4">
        <v>45392</v>
      </c>
    </row>
    <row r="57" spans="1:6" x14ac:dyDescent="0.3">
      <c r="A57" s="2" t="s">
        <v>19</v>
      </c>
      <c r="B57" s="2" t="s">
        <v>10</v>
      </c>
      <c r="C57" s="3">
        <v>20700000</v>
      </c>
      <c r="D57" s="2">
        <v>3951</v>
      </c>
      <c r="E57" s="2" t="s">
        <v>11</v>
      </c>
      <c r="F57" s="4">
        <v>45321</v>
      </c>
    </row>
    <row r="58" spans="1:6" x14ac:dyDescent="0.3">
      <c r="A58" s="2" t="s">
        <v>20</v>
      </c>
      <c r="B58" s="2" t="s">
        <v>10</v>
      </c>
      <c r="C58" s="3">
        <v>26300000</v>
      </c>
      <c r="D58" s="2">
        <v>2863</v>
      </c>
      <c r="E58" s="2" t="s">
        <v>8</v>
      </c>
      <c r="F58" s="4">
        <v>45439</v>
      </c>
    </row>
    <row r="59" spans="1:6" x14ac:dyDescent="0.3">
      <c r="A59" s="2" t="s">
        <v>6</v>
      </c>
      <c r="B59" s="2" t="s">
        <v>17</v>
      </c>
      <c r="C59" s="3">
        <v>6300000</v>
      </c>
      <c r="D59" s="2">
        <v>1201</v>
      </c>
      <c r="E59" s="2" t="s">
        <v>18</v>
      </c>
      <c r="F59" s="4">
        <v>45437</v>
      </c>
    </row>
    <row r="60" spans="1:6" x14ac:dyDescent="0.3">
      <c r="A60" s="2" t="s">
        <v>19</v>
      </c>
      <c r="B60" s="2" t="s">
        <v>17</v>
      </c>
      <c r="C60" s="3">
        <v>14600000</v>
      </c>
      <c r="D60" s="2">
        <v>2990</v>
      </c>
      <c r="E60" s="2" t="s">
        <v>11</v>
      </c>
      <c r="F60" s="4">
        <v>45327</v>
      </c>
    </row>
    <row r="61" spans="1:6" x14ac:dyDescent="0.3">
      <c r="A61" s="2" t="s">
        <v>14</v>
      </c>
      <c r="B61" s="2" t="s">
        <v>15</v>
      </c>
      <c r="C61" s="3">
        <v>26800000</v>
      </c>
      <c r="D61" s="2">
        <v>3173</v>
      </c>
      <c r="E61" s="2" t="s">
        <v>8</v>
      </c>
      <c r="F61" s="4">
        <v>45347</v>
      </c>
    </row>
    <row r="62" spans="1:6" x14ac:dyDescent="0.3">
      <c r="A62" s="2" t="s">
        <v>16</v>
      </c>
      <c r="B62" s="2" t="s">
        <v>10</v>
      </c>
      <c r="C62" s="3">
        <v>5400000</v>
      </c>
      <c r="D62" s="2">
        <v>3195</v>
      </c>
      <c r="E62" s="2" t="s">
        <v>18</v>
      </c>
      <c r="F62" s="4">
        <v>45307</v>
      </c>
    </row>
    <row r="63" spans="1:6" x14ac:dyDescent="0.3">
      <c r="A63" s="2" t="s">
        <v>6</v>
      </c>
      <c r="B63" s="2" t="s">
        <v>10</v>
      </c>
      <c r="C63" s="3">
        <v>8100000</v>
      </c>
      <c r="D63" s="2">
        <v>1557</v>
      </c>
      <c r="E63" s="2" t="s">
        <v>11</v>
      </c>
      <c r="F63" s="4">
        <v>45364</v>
      </c>
    </row>
    <row r="64" spans="1:6" x14ac:dyDescent="0.3">
      <c r="A64" s="2" t="s">
        <v>16</v>
      </c>
      <c r="B64" s="2" t="s">
        <v>7</v>
      </c>
      <c r="C64" s="3">
        <v>12500000</v>
      </c>
      <c r="D64" s="2">
        <v>2872</v>
      </c>
      <c r="E64" s="2" t="s">
        <v>11</v>
      </c>
      <c r="F64" s="4">
        <v>45362</v>
      </c>
    </row>
    <row r="65" spans="1:6" x14ac:dyDescent="0.3">
      <c r="A65" s="2" t="s">
        <v>21</v>
      </c>
      <c r="B65" s="2" t="s">
        <v>15</v>
      </c>
      <c r="C65" s="3">
        <v>29400000</v>
      </c>
      <c r="D65" s="2">
        <v>1830</v>
      </c>
      <c r="E65" s="2" t="s">
        <v>18</v>
      </c>
      <c r="F65" s="4">
        <v>45418</v>
      </c>
    </row>
    <row r="66" spans="1:6" x14ac:dyDescent="0.3">
      <c r="A66" s="2" t="s">
        <v>19</v>
      </c>
      <c r="B66" s="2" t="s">
        <v>13</v>
      </c>
      <c r="C66" s="3">
        <v>21700000</v>
      </c>
      <c r="D66" s="2">
        <v>1901</v>
      </c>
      <c r="E66" s="2" t="s">
        <v>8</v>
      </c>
      <c r="F66" s="4">
        <v>45324</v>
      </c>
    </row>
    <row r="67" spans="1:6" x14ac:dyDescent="0.3">
      <c r="A67" s="2" t="s">
        <v>21</v>
      </c>
      <c r="B67" s="2" t="s">
        <v>7</v>
      </c>
      <c r="C67" s="3">
        <v>11500000</v>
      </c>
      <c r="D67" s="2">
        <v>2155</v>
      </c>
      <c r="E67" s="2" t="s">
        <v>11</v>
      </c>
      <c r="F67" s="4">
        <v>45436</v>
      </c>
    </row>
    <row r="68" spans="1:6" x14ac:dyDescent="0.3">
      <c r="A68" s="2" t="s">
        <v>14</v>
      </c>
      <c r="B68" s="2" t="s">
        <v>10</v>
      </c>
      <c r="C68" s="3">
        <v>22500000</v>
      </c>
      <c r="D68" s="2">
        <v>2404</v>
      </c>
      <c r="E68" s="2" t="s">
        <v>8</v>
      </c>
      <c r="F68" s="4">
        <v>45434</v>
      </c>
    </row>
    <row r="69" spans="1:6" x14ac:dyDescent="0.3">
      <c r="A69" s="2" t="s">
        <v>21</v>
      </c>
      <c r="B69" s="2" t="s">
        <v>13</v>
      </c>
      <c r="C69" s="3">
        <v>11700000</v>
      </c>
      <c r="D69" s="2">
        <v>3591</v>
      </c>
      <c r="E69" s="2" t="s">
        <v>18</v>
      </c>
      <c r="F69" s="4">
        <v>45430</v>
      </c>
    </row>
    <row r="70" spans="1:6" x14ac:dyDescent="0.3">
      <c r="A70" s="2" t="s">
        <v>9</v>
      </c>
      <c r="B70" s="2" t="s">
        <v>15</v>
      </c>
      <c r="C70" s="3">
        <v>10100000</v>
      </c>
      <c r="D70" s="2">
        <v>3451</v>
      </c>
      <c r="E70" s="2" t="s">
        <v>11</v>
      </c>
      <c r="F70" s="4">
        <v>45371</v>
      </c>
    </row>
    <row r="71" spans="1:6" x14ac:dyDescent="0.3">
      <c r="A71" s="2" t="s">
        <v>14</v>
      </c>
      <c r="B71" s="2" t="s">
        <v>15</v>
      </c>
      <c r="C71" s="3">
        <v>4300000</v>
      </c>
      <c r="D71" s="2">
        <v>3333</v>
      </c>
      <c r="E71" s="2" t="s">
        <v>11</v>
      </c>
      <c r="F71" s="4">
        <v>45316</v>
      </c>
    </row>
    <row r="72" spans="1:6" x14ac:dyDescent="0.3">
      <c r="A72" s="2" t="s">
        <v>6</v>
      </c>
      <c r="B72" s="2" t="s">
        <v>7</v>
      </c>
      <c r="C72" s="3">
        <v>19600000</v>
      </c>
      <c r="D72" s="2">
        <v>3922</v>
      </c>
      <c r="E72" s="2" t="s">
        <v>11</v>
      </c>
      <c r="F72" s="4">
        <v>45408</v>
      </c>
    </row>
    <row r="73" spans="1:6" x14ac:dyDescent="0.3">
      <c r="A73" s="2" t="s">
        <v>20</v>
      </c>
      <c r="B73" s="2" t="s">
        <v>10</v>
      </c>
      <c r="C73" s="3">
        <v>8000000</v>
      </c>
      <c r="D73" s="2">
        <v>639</v>
      </c>
      <c r="E73" s="2" t="s">
        <v>8</v>
      </c>
      <c r="F73" s="4">
        <v>45300</v>
      </c>
    </row>
    <row r="74" spans="1:6" x14ac:dyDescent="0.3">
      <c r="A74" s="2" t="s">
        <v>9</v>
      </c>
      <c r="B74" s="2" t="s">
        <v>17</v>
      </c>
      <c r="C74" s="3">
        <v>19000000</v>
      </c>
      <c r="D74" s="2">
        <v>2163</v>
      </c>
      <c r="E74" s="2" t="s">
        <v>11</v>
      </c>
      <c r="F74" s="4">
        <v>45305</v>
      </c>
    </row>
    <row r="75" spans="1:6" x14ac:dyDescent="0.3">
      <c r="A75" s="2" t="s">
        <v>9</v>
      </c>
      <c r="B75" s="2" t="s">
        <v>17</v>
      </c>
      <c r="C75" s="3">
        <v>26300000</v>
      </c>
      <c r="D75" s="2">
        <v>1420</v>
      </c>
      <c r="E75" s="2" t="s">
        <v>8</v>
      </c>
      <c r="F75" s="4">
        <v>45458</v>
      </c>
    </row>
    <row r="76" spans="1:6" x14ac:dyDescent="0.3">
      <c r="A76" s="2" t="s">
        <v>16</v>
      </c>
      <c r="B76" s="2" t="s">
        <v>10</v>
      </c>
      <c r="C76" s="3">
        <v>25700000</v>
      </c>
      <c r="D76" s="2">
        <v>1135</v>
      </c>
      <c r="E76" s="2" t="s">
        <v>11</v>
      </c>
      <c r="F76" s="4">
        <v>45451</v>
      </c>
    </row>
    <row r="77" spans="1:6" x14ac:dyDescent="0.3">
      <c r="A77" s="2" t="s">
        <v>16</v>
      </c>
      <c r="B77" s="2" t="s">
        <v>10</v>
      </c>
      <c r="C77" s="3">
        <v>15900000</v>
      </c>
      <c r="D77" s="2">
        <v>792</v>
      </c>
      <c r="E77" s="2" t="s">
        <v>11</v>
      </c>
      <c r="F77" s="4">
        <v>45392</v>
      </c>
    </row>
    <row r="78" spans="1:6" x14ac:dyDescent="0.3">
      <c r="A78" s="2" t="s">
        <v>9</v>
      </c>
      <c r="B78" s="2" t="s">
        <v>7</v>
      </c>
      <c r="C78" s="3">
        <v>7800000</v>
      </c>
      <c r="D78" s="2">
        <v>1561</v>
      </c>
      <c r="E78" s="2" t="s">
        <v>18</v>
      </c>
      <c r="F78" s="4">
        <v>45472</v>
      </c>
    </row>
    <row r="79" spans="1:6" x14ac:dyDescent="0.3">
      <c r="A79" s="2" t="s">
        <v>9</v>
      </c>
      <c r="B79" s="2" t="s">
        <v>10</v>
      </c>
      <c r="C79" s="3">
        <v>16100000</v>
      </c>
      <c r="D79" s="2">
        <v>962</v>
      </c>
      <c r="E79" s="2" t="s">
        <v>18</v>
      </c>
      <c r="F79" s="4">
        <v>45414</v>
      </c>
    </row>
    <row r="80" spans="1:6" x14ac:dyDescent="0.3">
      <c r="A80" s="2" t="s">
        <v>6</v>
      </c>
      <c r="B80" s="2" t="s">
        <v>13</v>
      </c>
      <c r="C80" s="3">
        <v>7500000</v>
      </c>
      <c r="D80" s="2">
        <v>810</v>
      </c>
      <c r="E80" s="2" t="s">
        <v>11</v>
      </c>
      <c r="F80" s="4">
        <v>45310</v>
      </c>
    </row>
    <row r="81" spans="1:6" x14ac:dyDescent="0.3">
      <c r="A81" s="2" t="s">
        <v>21</v>
      </c>
      <c r="B81" s="2" t="s">
        <v>10</v>
      </c>
      <c r="C81" s="3">
        <v>12800000</v>
      </c>
      <c r="D81" s="2">
        <v>2473</v>
      </c>
      <c r="E81" s="2" t="s">
        <v>18</v>
      </c>
      <c r="F81" s="4">
        <v>45391</v>
      </c>
    </row>
    <row r="82" spans="1:6" x14ac:dyDescent="0.3">
      <c r="A82" s="2" t="s">
        <v>9</v>
      </c>
      <c r="B82" s="2" t="s">
        <v>15</v>
      </c>
      <c r="C82" s="3">
        <v>5600000</v>
      </c>
      <c r="D82" s="2">
        <v>3663</v>
      </c>
      <c r="E82" s="2" t="s">
        <v>11</v>
      </c>
      <c r="F82" s="4">
        <v>45413</v>
      </c>
    </row>
    <row r="83" spans="1:6" x14ac:dyDescent="0.3">
      <c r="A83" s="2" t="s">
        <v>19</v>
      </c>
      <c r="B83" s="2" t="s">
        <v>7</v>
      </c>
      <c r="C83" s="3">
        <v>9300000</v>
      </c>
      <c r="D83" s="2">
        <v>1457</v>
      </c>
      <c r="E83" s="2" t="s">
        <v>18</v>
      </c>
      <c r="F83" s="4">
        <v>45386</v>
      </c>
    </row>
    <row r="84" spans="1:6" x14ac:dyDescent="0.3">
      <c r="A84" s="2" t="s">
        <v>20</v>
      </c>
      <c r="B84" s="2" t="s">
        <v>7</v>
      </c>
      <c r="C84" s="3">
        <v>26200000</v>
      </c>
      <c r="D84" s="2">
        <v>3326</v>
      </c>
      <c r="E84" s="2" t="s">
        <v>11</v>
      </c>
      <c r="F84" s="4">
        <v>45464</v>
      </c>
    </row>
    <row r="85" spans="1:6" x14ac:dyDescent="0.3">
      <c r="A85" s="2" t="s">
        <v>9</v>
      </c>
      <c r="B85" s="2" t="s">
        <v>7</v>
      </c>
      <c r="C85" s="3">
        <v>16800000</v>
      </c>
      <c r="D85" s="2">
        <v>835</v>
      </c>
      <c r="E85" s="2" t="s">
        <v>18</v>
      </c>
      <c r="F85" s="4">
        <v>45402</v>
      </c>
    </row>
    <row r="86" spans="1:6" x14ac:dyDescent="0.3">
      <c r="A86" s="2" t="s">
        <v>14</v>
      </c>
      <c r="B86" s="2" t="s">
        <v>17</v>
      </c>
      <c r="C86" s="3">
        <v>7900000</v>
      </c>
      <c r="D86" s="2">
        <v>934</v>
      </c>
      <c r="E86" s="2" t="s">
        <v>18</v>
      </c>
      <c r="F86" s="4">
        <v>45458</v>
      </c>
    </row>
    <row r="87" spans="1:6" x14ac:dyDescent="0.3">
      <c r="A87" s="2" t="s">
        <v>20</v>
      </c>
      <c r="B87" s="2" t="s">
        <v>13</v>
      </c>
      <c r="C87" s="3">
        <v>19700000</v>
      </c>
      <c r="D87" s="2">
        <v>1487</v>
      </c>
      <c r="E87" s="2" t="s">
        <v>8</v>
      </c>
      <c r="F87" s="4">
        <v>45467</v>
      </c>
    </row>
    <row r="88" spans="1:6" x14ac:dyDescent="0.3">
      <c r="A88" s="2" t="s">
        <v>20</v>
      </c>
      <c r="B88" s="2" t="s">
        <v>15</v>
      </c>
      <c r="C88" s="3">
        <v>14000000</v>
      </c>
      <c r="D88" s="2">
        <v>1738</v>
      </c>
      <c r="E88" s="2" t="s">
        <v>18</v>
      </c>
      <c r="F88" s="4">
        <v>45374</v>
      </c>
    </row>
    <row r="89" spans="1:6" x14ac:dyDescent="0.3">
      <c r="A89" s="2" t="s">
        <v>21</v>
      </c>
      <c r="B89" s="2" t="s">
        <v>10</v>
      </c>
      <c r="C89" s="3">
        <v>4600000</v>
      </c>
      <c r="D89" s="2">
        <v>3999</v>
      </c>
      <c r="E89" s="2" t="s">
        <v>18</v>
      </c>
      <c r="F89" s="4">
        <v>45307</v>
      </c>
    </row>
    <row r="90" spans="1:6" x14ac:dyDescent="0.3">
      <c r="A90" s="2" t="s">
        <v>21</v>
      </c>
      <c r="B90" s="2" t="s">
        <v>10</v>
      </c>
      <c r="C90" s="3">
        <v>21700000</v>
      </c>
      <c r="D90" s="2">
        <v>560</v>
      </c>
      <c r="E90" s="2" t="s">
        <v>11</v>
      </c>
      <c r="F90" s="4">
        <v>45357</v>
      </c>
    </row>
    <row r="91" spans="1:6" x14ac:dyDescent="0.3">
      <c r="A91" s="2" t="s">
        <v>6</v>
      </c>
      <c r="B91" s="2" t="s">
        <v>15</v>
      </c>
      <c r="C91" s="3">
        <v>11700000</v>
      </c>
      <c r="D91" s="2">
        <v>3905</v>
      </c>
      <c r="E91" s="2" t="s">
        <v>8</v>
      </c>
      <c r="F91" s="4">
        <v>45334</v>
      </c>
    </row>
    <row r="92" spans="1:6" x14ac:dyDescent="0.3">
      <c r="A92" s="2" t="s">
        <v>20</v>
      </c>
      <c r="B92" s="2" t="s">
        <v>7</v>
      </c>
      <c r="C92" s="3">
        <v>18700000</v>
      </c>
      <c r="D92" s="2">
        <v>3829</v>
      </c>
      <c r="E92" s="2" t="s">
        <v>18</v>
      </c>
      <c r="F92" s="4">
        <v>45343</v>
      </c>
    </row>
    <row r="93" spans="1:6" x14ac:dyDescent="0.3">
      <c r="A93" s="2" t="s">
        <v>20</v>
      </c>
      <c r="B93" s="2" t="s">
        <v>13</v>
      </c>
      <c r="C93" s="3">
        <v>21800000</v>
      </c>
      <c r="D93" s="2">
        <v>2415</v>
      </c>
      <c r="E93" s="2" t="s">
        <v>18</v>
      </c>
      <c r="F93" s="4">
        <v>45315</v>
      </c>
    </row>
    <row r="94" spans="1:6" x14ac:dyDescent="0.3">
      <c r="A94" s="2" t="s">
        <v>19</v>
      </c>
      <c r="B94" s="2" t="s">
        <v>13</v>
      </c>
      <c r="C94" s="3">
        <v>9200000</v>
      </c>
      <c r="D94" s="2">
        <v>3022</v>
      </c>
      <c r="E94" s="2" t="s">
        <v>11</v>
      </c>
      <c r="F94" s="4">
        <v>45418</v>
      </c>
    </row>
    <row r="95" spans="1:6" x14ac:dyDescent="0.3">
      <c r="A95" s="2" t="s">
        <v>6</v>
      </c>
      <c r="B95" s="2" t="s">
        <v>15</v>
      </c>
      <c r="C95" s="3">
        <v>28700000</v>
      </c>
      <c r="D95" s="2">
        <v>2237</v>
      </c>
      <c r="E95" s="2" t="s">
        <v>8</v>
      </c>
      <c r="F95" s="4">
        <v>45298</v>
      </c>
    </row>
    <row r="96" spans="1:6" x14ac:dyDescent="0.3">
      <c r="A96" s="2" t="s">
        <v>9</v>
      </c>
      <c r="B96" s="2" t="s">
        <v>10</v>
      </c>
      <c r="C96" s="3">
        <v>16600000</v>
      </c>
      <c r="D96" s="2">
        <v>2870</v>
      </c>
      <c r="E96" s="2" t="s">
        <v>11</v>
      </c>
      <c r="F96" s="4">
        <v>45421</v>
      </c>
    </row>
    <row r="97" spans="1:6" x14ac:dyDescent="0.3">
      <c r="A97" s="2" t="s">
        <v>21</v>
      </c>
      <c r="B97" s="2" t="s">
        <v>7</v>
      </c>
      <c r="C97" s="3">
        <v>29200000</v>
      </c>
      <c r="D97" s="2">
        <v>1377</v>
      </c>
      <c r="E97" s="2" t="s">
        <v>8</v>
      </c>
      <c r="F97" s="4">
        <v>45395</v>
      </c>
    </row>
    <row r="98" spans="1:6" x14ac:dyDescent="0.3">
      <c r="A98" s="2" t="s">
        <v>12</v>
      </c>
      <c r="B98" s="2" t="s">
        <v>10</v>
      </c>
      <c r="C98" s="3">
        <v>17300000</v>
      </c>
      <c r="D98" s="2">
        <v>610</v>
      </c>
      <c r="E98" s="2" t="s">
        <v>18</v>
      </c>
      <c r="F98" s="4">
        <v>45360</v>
      </c>
    </row>
    <row r="99" spans="1:6" x14ac:dyDescent="0.3">
      <c r="A99" s="2" t="s">
        <v>14</v>
      </c>
      <c r="B99" s="2" t="s">
        <v>10</v>
      </c>
      <c r="C99" s="3">
        <v>23400000</v>
      </c>
      <c r="D99" s="2">
        <v>3936</v>
      </c>
      <c r="E99" s="2" t="s">
        <v>18</v>
      </c>
      <c r="F99" s="4">
        <v>45433</v>
      </c>
    </row>
    <row r="100" spans="1:6" x14ac:dyDescent="0.3">
      <c r="A100" s="2" t="s">
        <v>21</v>
      </c>
      <c r="B100" s="2" t="s">
        <v>17</v>
      </c>
      <c r="C100" s="3">
        <v>22800000</v>
      </c>
      <c r="D100" s="2">
        <v>2827</v>
      </c>
      <c r="E100" s="2" t="s">
        <v>11</v>
      </c>
      <c r="F100" s="4">
        <v>45391</v>
      </c>
    </row>
    <row r="101" spans="1:6" x14ac:dyDescent="0.3">
      <c r="A101" s="2" t="s">
        <v>16</v>
      </c>
      <c r="B101" s="2" t="s">
        <v>13</v>
      </c>
      <c r="C101" s="3">
        <v>15600000</v>
      </c>
      <c r="D101" s="2">
        <v>1448</v>
      </c>
      <c r="E101" s="2" t="s">
        <v>18</v>
      </c>
      <c r="F101" s="4">
        <v>45412</v>
      </c>
    </row>
    <row r="102" spans="1:6" x14ac:dyDescent="0.3">
      <c r="A102" s="2" t="s">
        <v>6</v>
      </c>
      <c r="B102" s="2" t="s">
        <v>7</v>
      </c>
      <c r="C102" s="3">
        <v>21000000</v>
      </c>
      <c r="D102" s="2">
        <v>1480</v>
      </c>
      <c r="E102" s="2" t="s">
        <v>18</v>
      </c>
      <c r="F102" s="4">
        <v>45467</v>
      </c>
    </row>
    <row r="103" spans="1:6" x14ac:dyDescent="0.3">
      <c r="A103" s="2" t="s">
        <v>12</v>
      </c>
      <c r="B103" s="2" t="s">
        <v>13</v>
      </c>
      <c r="C103" s="3">
        <v>6800000</v>
      </c>
      <c r="D103" s="2">
        <v>1684</v>
      </c>
      <c r="E103" s="2" t="s">
        <v>18</v>
      </c>
      <c r="F103" s="4">
        <v>45336</v>
      </c>
    </row>
    <row r="104" spans="1:6" x14ac:dyDescent="0.3">
      <c r="A104" s="2" t="s">
        <v>12</v>
      </c>
      <c r="B104" s="2" t="s">
        <v>15</v>
      </c>
      <c r="C104" s="3">
        <v>10100000</v>
      </c>
      <c r="D104" s="2">
        <v>1394</v>
      </c>
      <c r="E104" s="2" t="s">
        <v>8</v>
      </c>
      <c r="F104" s="4">
        <v>45340</v>
      </c>
    </row>
    <row r="105" spans="1:6" x14ac:dyDescent="0.3">
      <c r="A105" s="2" t="s">
        <v>19</v>
      </c>
      <c r="B105" s="2" t="s">
        <v>13</v>
      </c>
      <c r="C105" s="3">
        <v>27000000</v>
      </c>
      <c r="D105" s="2">
        <v>932</v>
      </c>
      <c r="E105" s="2" t="s">
        <v>18</v>
      </c>
      <c r="F105" s="4">
        <v>45384</v>
      </c>
    </row>
    <row r="106" spans="1:6" x14ac:dyDescent="0.3">
      <c r="A106" s="2" t="s">
        <v>12</v>
      </c>
      <c r="B106" s="2" t="s">
        <v>15</v>
      </c>
      <c r="C106" s="3">
        <v>9100000</v>
      </c>
      <c r="D106" s="2">
        <v>1520</v>
      </c>
      <c r="E106" s="2" t="s">
        <v>11</v>
      </c>
      <c r="F106" s="4">
        <v>45467</v>
      </c>
    </row>
    <row r="107" spans="1:6" x14ac:dyDescent="0.3">
      <c r="A107" s="2" t="s">
        <v>6</v>
      </c>
      <c r="B107" s="2" t="s">
        <v>15</v>
      </c>
      <c r="C107" s="3">
        <v>9900000</v>
      </c>
      <c r="D107" s="2">
        <v>3591</v>
      </c>
      <c r="E107" s="2" t="s">
        <v>8</v>
      </c>
      <c r="F107" s="4">
        <v>45331</v>
      </c>
    </row>
    <row r="108" spans="1:6" x14ac:dyDescent="0.3">
      <c r="A108" s="2" t="s">
        <v>20</v>
      </c>
      <c r="B108" s="2" t="s">
        <v>17</v>
      </c>
      <c r="C108" s="3">
        <v>15800000</v>
      </c>
      <c r="D108" s="2">
        <v>3337</v>
      </c>
      <c r="E108" s="2" t="s">
        <v>8</v>
      </c>
      <c r="F108" s="4">
        <v>45460</v>
      </c>
    </row>
    <row r="109" spans="1:6" x14ac:dyDescent="0.3">
      <c r="A109" s="2" t="s">
        <v>12</v>
      </c>
      <c r="B109" s="2" t="s">
        <v>10</v>
      </c>
      <c r="C109" s="3">
        <v>20800000</v>
      </c>
      <c r="D109" s="2">
        <v>3313</v>
      </c>
      <c r="E109" s="2" t="s">
        <v>8</v>
      </c>
      <c r="F109" s="4">
        <v>45356</v>
      </c>
    </row>
    <row r="110" spans="1:6" x14ac:dyDescent="0.3">
      <c r="A110" s="2" t="s">
        <v>19</v>
      </c>
      <c r="B110" s="2" t="s">
        <v>17</v>
      </c>
      <c r="C110" s="3">
        <v>8200000</v>
      </c>
      <c r="D110" s="2">
        <v>1892</v>
      </c>
      <c r="E110" s="2" t="s">
        <v>11</v>
      </c>
      <c r="F110" s="4">
        <v>45365</v>
      </c>
    </row>
    <row r="111" spans="1:6" x14ac:dyDescent="0.3">
      <c r="A111" s="2" t="s">
        <v>6</v>
      </c>
      <c r="B111" s="2" t="s">
        <v>17</v>
      </c>
      <c r="C111" s="3">
        <v>3200000</v>
      </c>
      <c r="D111" s="2">
        <v>2227</v>
      </c>
      <c r="E111" s="2" t="s">
        <v>11</v>
      </c>
      <c r="F111" s="4">
        <v>45340</v>
      </c>
    </row>
    <row r="112" spans="1:6" x14ac:dyDescent="0.3">
      <c r="A112" s="2" t="s">
        <v>6</v>
      </c>
      <c r="B112" s="2" t="s">
        <v>7</v>
      </c>
      <c r="C112" s="3">
        <v>22100000</v>
      </c>
      <c r="D112" s="2">
        <v>2152</v>
      </c>
      <c r="E112" s="2" t="s">
        <v>18</v>
      </c>
      <c r="F112" s="4">
        <v>45305</v>
      </c>
    </row>
    <row r="113" spans="1:6" x14ac:dyDescent="0.3">
      <c r="A113" s="2" t="s">
        <v>6</v>
      </c>
      <c r="B113" s="2" t="s">
        <v>15</v>
      </c>
      <c r="C113" s="3">
        <v>24900000</v>
      </c>
      <c r="D113" s="2">
        <v>3924</v>
      </c>
      <c r="E113" s="2" t="s">
        <v>11</v>
      </c>
      <c r="F113" s="4">
        <v>45312</v>
      </c>
    </row>
    <row r="114" spans="1:6" x14ac:dyDescent="0.3">
      <c r="A114" s="2" t="s">
        <v>16</v>
      </c>
      <c r="B114" s="2" t="s">
        <v>17</v>
      </c>
      <c r="C114" s="3">
        <v>16600000</v>
      </c>
      <c r="D114" s="2">
        <v>2123</v>
      </c>
      <c r="E114" s="2" t="s">
        <v>18</v>
      </c>
      <c r="F114" s="4">
        <v>45383</v>
      </c>
    </row>
    <row r="115" spans="1:6" x14ac:dyDescent="0.3">
      <c r="A115" s="2" t="s">
        <v>6</v>
      </c>
      <c r="B115" s="2" t="s">
        <v>15</v>
      </c>
      <c r="C115" s="3">
        <v>9800000</v>
      </c>
      <c r="D115" s="2">
        <v>848</v>
      </c>
      <c r="E115" s="2" t="s">
        <v>8</v>
      </c>
      <c r="F115" s="4">
        <v>45303</v>
      </c>
    </row>
    <row r="116" spans="1:6" x14ac:dyDescent="0.3">
      <c r="A116" s="2" t="s">
        <v>12</v>
      </c>
      <c r="B116" s="2" t="s">
        <v>17</v>
      </c>
      <c r="C116" s="3">
        <v>27800000</v>
      </c>
      <c r="D116" s="2">
        <v>3053</v>
      </c>
      <c r="E116" s="2" t="s">
        <v>18</v>
      </c>
      <c r="F116" s="4">
        <v>45416</v>
      </c>
    </row>
    <row r="117" spans="1:6" x14ac:dyDescent="0.3">
      <c r="A117" s="2" t="s">
        <v>14</v>
      </c>
      <c r="B117" s="2" t="s">
        <v>17</v>
      </c>
      <c r="C117" s="3">
        <v>8600000</v>
      </c>
      <c r="D117" s="2">
        <v>3242</v>
      </c>
      <c r="E117" s="2" t="s">
        <v>11</v>
      </c>
      <c r="F117" s="4">
        <v>45437</v>
      </c>
    </row>
    <row r="118" spans="1:6" x14ac:dyDescent="0.3">
      <c r="A118" s="2" t="s">
        <v>12</v>
      </c>
      <c r="B118" s="2" t="s">
        <v>7</v>
      </c>
      <c r="C118" s="3">
        <v>24600000</v>
      </c>
      <c r="D118" s="2">
        <v>1239</v>
      </c>
      <c r="E118" s="2" t="s">
        <v>11</v>
      </c>
      <c r="F118" s="4">
        <v>45394</v>
      </c>
    </row>
    <row r="119" spans="1:6" x14ac:dyDescent="0.3">
      <c r="A119" s="2" t="s">
        <v>20</v>
      </c>
      <c r="B119" s="2" t="s">
        <v>15</v>
      </c>
      <c r="C119" s="3">
        <v>17900000</v>
      </c>
      <c r="D119" s="2">
        <v>1252</v>
      </c>
      <c r="E119" s="2" t="s">
        <v>11</v>
      </c>
      <c r="F119" s="4">
        <v>45359</v>
      </c>
    </row>
    <row r="120" spans="1:6" x14ac:dyDescent="0.3">
      <c r="A120" s="2" t="s">
        <v>20</v>
      </c>
      <c r="B120" s="2" t="s">
        <v>17</v>
      </c>
      <c r="C120" s="3">
        <v>6500000</v>
      </c>
      <c r="D120" s="2">
        <v>2437</v>
      </c>
      <c r="E120" s="2" t="s">
        <v>18</v>
      </c>
      <c r="F120" s="4">
        <v>45371</v>
      </c>
    </row>
    <row r="121" spans="1:6" x14ac:dyDescent="0.3">
      <c r="A121" s="2" t="s">
        <v>9</v>
      </c>
      <c r="B121" s="2" t="s">
        <v>10</v>
      </c>
      <c r="C121" s="3">
        <v>26800000</v>
      </c>
      <c r="D121" s="2">
        <v>3724</v>
      </c>
      <c r="E121" s="2" t="s">
        <v>18</v>
      </c>
      <c r="F121" s="4">
        <v>45466</v>
      </c>
    </row>
    <row r="122" spans="1:6" x14ac:dyDescent="0.3">
      <c r="A122" s="2" t="s">
        <v>19</v>
      </c>
      <c r="B122" s="2" t="s">
        <v>7</v>
      </c>
      <c r="C122" s="3">
        <v>17800000</v>
      </c>
      <c r="D122" s="2">
        <v>1918</v>
      </c>
      <c r="E122" s="2" t="s">
        <v>8</v>
      </c>
      <c r="F122" s="4">
        <v>45425</v>
      </c>
    </row>
    <row r="123" spans="1:6" x14ac:dyDescent="0.3">
      <c r="A123" s="2" t="s">
        <v>20</v>
      </c>
      <c r="B123" s="2" t="s">
        <v>10</v>
      </c>
      <c r="C123" s="3">
        <v>8600000</v>
      </c>
      <c r="D123" s="2">
        <v>771</v>
      </c>
      <c r="E123" s="2" t="s">
        <v>18</v>
      </c>
      <c r="F123" s="4">
        <v>45399</v>
      </c>
    </row>
    <row r="124" spans="1:6" x14ac:dyDescent="0.3">
      <c r="A124" s="2" t="s">
        <v>6</v>
      </c>
      <c r="B124" s="2" t="s">
        <v>7</v>
      </c>
      <c r="C124" s="3">
        <v>29100000</v>
      </c>
      <c r="D124" s="2">
        <v>3463</v>
      </c>
      <c r="E124" s="2" t="s">
        <v>11</v>
      </c>
      <c r="F124" s="4">
        <v>45462</v>
      </c>
    </row>
    <row r="125" spans="1:6" x14ac:dyDescent="0.3">
      <c r="A125" s="2" t="s">
        <v>12</v>
      </c>
      <c r="B125" s="2" t="s">
        <v>13</v>
      </c>
      <c r="C125" s="3">
        <v>19400000</v>
      </c>
      <c r="D125" s="2">
        <v>3302</v>
      </c>
      <c r="E125" s="2" t="s">
        <v>11</v>
      </c>
      <c r="F125" s="4">
        <v>45384</v>
      </c>
    </row>
    <row r="126" spans="1:6" x14ac:dyDescent="0.3">
      <c r="A126" s="2" t="s">
        <v>12</v>
      </c>
      <c r="B126" s="2" t="s">
        <v>7</v>
      </c>
      <c r="C126" s="3">
        <v>12200000</v>
      </c>
      <c r="D126" s="2">
        <v>3124</v>
      </c>
      <c r="E126" s="2" t="s">
        <v>11</v>
      </c>
      <c r="F126" s="4">
        <v>45327</v>
      </c>
    </row>
    <row r="127" spans="1:6" x14ac:dyDescent="0.3">
      <c r="A127" s="2" t="s">
        <v>6</v>
      </c>
      <c r="B127" s="2" t="s">
        <v>17</v>
      </c>
      <c r="C127" s="3">
        <v>11600000</v>
      </c>
      <c r="D127" s="2">
        <v>1174</v>
      </c>
      <c r="E127" s="2" t="s">
        <v>8</v>
      </c>
      <c r="F127" s="4">
        <v>45440</v>
      </c>
    </row>
    <row r="128" spans="1:6" x14ac:dyDescent="0.3">
      <c r="A128" s="2" t="s">
        <v>21</v>
      </c>
      <c r="B128" s="2" t="s">
        <v>7</v>
      </c>
      <c r="C128" s="3">
        <v>12600000</v>
      </c>
      <c r="D128" s="2">
        <v>1357</v>
      </c>
      <c r="E128" s="2" t="s">
        <v>18</v>
      </c>
      <c r="F128" s="4">
        <v>45414</v>
      </c>
    </row>
    <row r="129" spans="1:6" x14ac:dyDescent="0.3">
      <c r="A129" s="2" t="s">
        <v>14</v>
      </c>
      <c r="B129" s="2" t="s">
        <v>10</v>
      </c>
      <c r="C129" s="3">
        <v>13600000</v>
      </c>
      <c r="D129" s="2">
        <v>3705</v>
      </c>
      <c r="E129" s="2" t="s">
        <v>8</v>
      </c>
      <c r="F129" s="4">
        <v>45392</v>
      </c>
    </row>
    <row r="130" spans="1:6" x14ac:dyDescent="0.3">
      <c r="A130" s="2" t="s">
        <v>9</v>
      </c>
      <c r="B130" s="2" t="s">
        <v>15</v>
      </c>
      <c r="C130" s="3">
        <v>5900000</v>
      </c>
      <c r="D130" s="2">
        <v>2349</v>
      </c>
      <c r="E130" s="2" t="s">
        <v>18</v>
      </c>
      <c r="F130" s="4">
        <v>45359</v>
      </c>
    </row>
    <row r="131" spans="1:6" x14ac:dyDescent="0.3">
      <c r="A131" s="2" t="s">
        <v>16</v>
      </c>
      <c r="B131" s="2" t="s">
        <v>10</v>
      </c>
      <c r="C131" s="3">
        <v>15300000</v>
      </c>
      <c r="D131" s="2">
        <v>2397</v>
      </c>
      <c r="E131" s="2" t="s">
        <v>18</v>
      </c>
      <c r="F131" s="4">
        <v>45352</v>
      </c>
    </row>
    <row r="132" spans="1:6" x14ac:dyDescent="0.3">
      <c r="A132" s="2" t="s">
        <v>9</v>
      </c>
      <c r="B132" s="2" t="s">
        <v>15</v>
      </c>
      <c r="C132" s="3">
        <v>14700000</v>
      </c>
      <c r="D132" s="2">
        <v>1156</v>
      </c>
      <c r="E132" s="2" t="s">
        <v>18</v>
      </c>
      <c r="F132" s="4">
        <v>45331</v>
      </c>
    </row>
    <row r="133" spans="1:6" x14ac:dyDescent="0.3">
      <c r="A133" s="2" t="s">
        <v>20</v>
      </c>
      <c r="B133" s="2" t="s">
        <v>15</v>
      </c>
      <c r="C133" s="3">
        <v>10600000</v>
      </c>
      <c r="D133" s="2">
        <v>558</v>
      </c>
      <c r="E133" s="2" t="s">
        <v>18</v>
      </c>
      <c r="F133" s="4">
        <v>45317</v>
      </c>
    </row>
    <row r="134" spans="1:6" x14ac:dyDescent="0.3">
      <c r="A134" s="2" t="s">
        <v>9</v>
      </c>
      <c r="B134" s="2" t="s">
        <v>17</v>
      </c>
      <c r="C134" s="3">
        <v>19300000</v>
      </c>
      <c r="D134" s="2">
        <v>2523</v>
      </c>
      <c r="E134" s="2" t="s">
        <v>8</v>
      </c>
      <c r="F134" s="4">
        <v>45405</v>
      </c>
    </row>
    <row r="135" spans="1:6" x14ac:dyDescent="0.3">
      <c r="A135" s="2" t="s">
        <v>21</v>
      </c>
      <c r="B135" s="2" t="s">
        <v>7</v>
      </c>
      <c r="C135" s="3">
        <v>6400000</v>
      </c>
      <c r="D135" s="2">
        <v>1522</v>
      </c>
      <c r="E135" s="2" t="s">
        <v>8</v>
      </c>
      <c r="F135" s="4">
        <v>45372</v>
      </c>
    </row>
    <row r="136" spans="1:6" x14ac:dyDescent="0.3">
      <c r="A136" s="2" t="s">
        <v>12</v>
      </c>
      <c r="B136" s="2" t="s">
        <v>15</v>
      </c>
      <c r="C136" s="3">
        <v>14800000</v>
      </c>
      <c r="D136" s="2">
        <v>1660</v>
      </c>
      <c r="E136" s="2" t="s">
        <v>8</v>
      </c>
      <c r="F136" s="4">
        <v>45365</v>
      </c>
    </row>
    <row r="137" spans="1:6" x14ac:dyDescent="0.3">
      <c r="A137" s="2" t="s">
        <v>6</v>
      </c>
      <c r="B137" s="2" t="s">
        <v>17</v>
      </c>
      <c r="C137" s="3">
        <v>15000000</v>
      </c>
      <c r="D137" s="2">
        <v>3087</v>
      </c>
      <c r="E137" s="2" t="s">
        <v>8</v>
      </c>
      <c r="F137" s="4">
        <v>45348</v>
      </c>
    </row>
    <row r="138" spans="1:6" x14ac:dyDescent="0.3">
      <c r="A138" s="2" t="s">
        <v>12</v>
      </c>
      <c r="B138" s="2" t="s">
        <v>7</v>
      </c>
      <c r="C138" s="3">
        <v>21600000</v>
      </c>
      <c r="D138" s="2">
        <v>1582</v>
      </c>
      <c r="E138" s="2" t="s">
        <v>18</v>
      </c>
      <c r="F138" s="4">
        <v>45399</v>
      </c>
    </row>
    <row r="139" spans="1:6" x14ac:dyDescent="0.3">
      <c r="A139" s="2" t="s">
        <v>20</v>
      </c>
      <c r="B139" s="2" t="s">
        <v>13</v>
      </c>
      <c r="C139" s="3">
        <v>4800000</v>
      </c>
      <c r="D139" s="2">
        <v>3964</v>
      </c>
      <c r="E139" s="2" t="s">
        <v>8</v>
      </c>
      <c r="F139" s="4">
        <v>45374</v>
      </c>
    </row>
    <row r="140" spans="1:6" x14ac:dyDescent="0.3">
      <c r="A140" s="2" t="s">
        <v>14</v>
      </c>
      <c r="B140" s="2" t="s">
        <v>15</v>
      </c>
      <c r="C140" s="3">
        <v>14100000</v>
      </c>
      <c r="D140" s="2">
        <v>1784</v>
      </c>
      <c r="E140" s="2" t="s">
        <v>18</v>
      </c>
      <c r="F140" s="4">
        <v>45293</v>
      </c>
    </row>
    <row r="141" spans="1:6" x14ac:dyDescent="0.3">
      <c r="A141" s="2" t="s">
        <v>12</v>
      </c>
      <c r="B141" s="2" t="s">
        <v>15</v>
      </c>
      <c r="C141" s="3">
        <v>20300000</v>
      </c>
      <c r="D141" s="2">
        <v>1845</v>
      </c>
      <c r="E141" s="2" t="s">
        <v>18</v>
      </c>
      <c r="F141" s="4">
        <v>45461</v>
      </c>
    </row>
    <row r="142" spans="1:6" x14ac:dyDescent="0.3">
      <c r="A142" s="2" t="s">
        <v>16</v>
      </c>
      <c r="B142" s="2" t="s">
        <v>7</v>
      </c>
      <c r="C142" s="3">
        <v>3700000</v>
      </c>
      <c r="D142" s="2">
        <v>1961</v>
      </c>
      <c r="E142" s="2" t="s">
        <v>8</v>
      </c>
      <c r="F142" s="4">
        <v>45297</v>
      </c>
    </row>
    <row r="143" spans="1:6" x14ac:dyDescent="0.3">
      <c r="A143" s="2" t="s">
        <v>6</v>
      </c>
      <c r="B143" s="2" t="s">
        <v>10</v>
      </c>
      <c r="C143" s="3">
        <v>11800000</v>
      </c>
      <c r="D143" s="2">
        <v>1939</v>
      </c>
      <c r="E143" s="2" t="s">
        <v>8</v>
      </c>
      <c r="F143" s="4">
        <v>45384</v>
      </c>
    </row>
    <row r="144" spans="1:6" x14ac:dyDescent="0.3">
      <c r="A144" s="2" t="s">
        <v>6</v>
      </c>
      <c r="B144" s="2" t="s">
        <v>17</v>
      </c>
      <c r="C144" s="3">
        <v>13700000</v>
      </c>
      <c r="D144" s="2">
        <v>3016</v>
      </c>
      <c r="E144" s="2" t="s">
        <v>18</v>
      </c>
      <c r="F144" s="4">
        <v>45379</v>
      </c>
    </row>
    <row r="145" spans="1:6" x14ac:dyDescent="0.3">
      <c r="A145" s="2" t="s">
        <v>16</v>
      </c>
      <c r="B145" s="2" t="s">
        <v>17</v>
      </c>
      <c r="C145" s="3">
        <v>6600000</v>
      </c>
      <c r="D145" s="2">
        <v>3617</v>
      </c>
      <c r="E145" s="2" t="s">
        <v>11</v>
      </c>
      <c r="F145" s="4">
        <v>45420</v>
      </c>
    </row>
    <row r="146" spans="1:6" x14ac:dyDescent="0.3">
      <c r="A146" s="2" t="s">
        <v>9</v>
      </c>
      <c r="B146" s="2" t="s">
        <v>13</v>
      </c>
      <c r="C146" s="3">
        <v>17200000</v>
      </c>
      <c r="D146" s="2">
        <v>2858</v>
      </c>
      <c r="E146" s="2" t="s">
        <v>11</v>
      </c>
      <c r="F146" s="4">
        <v>45440</v>
      </c>
    </row>
    <row r="147" spans="1:6" x14ac:dyDescent="0.3">
      <c r="A147" s="2" t="s">
        <v>14</v>
      </c>
      <c r="B147" s="2" t="s">
        <v>17</v>
      </c>
      <c r="C147" s="3">
        <v>3400000</v>
      </c>
      <c r="D147" s="2">
        <v>1674</v>
      </c>
      <c r="E147" s="2" t="s">
        <v>18</v>
      </c>
      <c r="F147" s="4">
        <v>45456</v>
      </c>
    </row>
    <row r="148" spans="1:6" x14ac:dyDescent="0.3">
      <c r="A148" s="2" t="s">
        <v>12</v>
      </c>
      <c r="B148" s="2" t="s">
        <v>7</v>
      </c>
      <c r="C148" s="3">
        <v>25900000</v>
      </c>
      <c r="D148" s="2">
        <v>1205</v>
      </c>
      <c r="E148" s="2" t="s">
        <v>11</v>
      </c>
      <c r="F148" s="4">
        <v>45447</v>
      </c>
    </row>
    <row r="149" spans="1:6" x14ac:dyDescent="0.3">
      <c r="A149" s="2" t="s">
        <v>19</v>
      </c>
      <c r="B149" s="2" t="s">
        <v>13</v>
      </c>
      <c r="C149" s="3">
        <v>23700000</v>
      </c>
      <c r="D149" s="2">
        <v>2929</v>
      </c>
      <c r="E149" s="2" t="s">
        <v>18</v>
      </c>
      <c r="F149" s="4">
        <v>45306</v>
      </c>
    </row>
    <row r="150" spans="1:6" x14ac:dyDescent="0.3">
      <c r="A150" s="2" t="s">
        <v>14</v>
      </c>
      <c r="B150" s="2" t="s">
        <v>15</v>
      </c>
      <c r="C150" s="3">
        <v>10600000</v>
      </c>
      <c r="D150" s="2">
        <v>1819</v>
      </c>
      <c r="E150" s="2" t="s">
        <v>18</v>
      </c>
      <c r="F150" s="4">
        <v>45393</v>
      </c>
    </row>
    <row r="151" spans="1:6" x14ac:dyDescent="0.3">
      <c r="A151" s="2" t="s">
        <v>9</v>
      </c>
      <c r="B151" s="2" t="s">
        <v>13</v>
      </c>
      <c r="C151" s="3">
        <v>21600000</v>
      </c>
      <c r="D151" s="2">
        <v>3698</v>
      </c>
      <c r="E151" s="2" t="s">
        <v>8</v>
      </c>
      <c r="F151" s="4">
        <v>45382</v>
      </c>
    </row>
    <row r="152" spans="1:6" x14ac:dyDescent="0.3">
      <c r="A152" s="2" t="s">
        <v>21</v>
      </c>
      <c r="B152" s="2" t="s">
        <v>13</v>
      </c>
      <c r="C152" s="3">
        <v>6200000</v>
      </c>
      <c r="D152" s="2">
        <v>3551</v>
      </c>
      <c r="E152" s="2" t="s">
        <v>18</v>
      </c>
      <c r="F152" s="4">
        <v>45440</v>
      </c>
    </row>
    <row r="153" spans="1:6" x14ac:dyDescent="0.3">
      <c r="A153" s="2" t="s">
        <v>6</v>
      </c>
      <c r="B153" s="2" t="s">
        <v>10</v>
      </c>
      <c r="C153" s="3">
        <v>5800000</v>
      </c>
      <c r="D153" s="2">
        <v>3928</v>
      </c>
      <c r="E153" s="2" t="s">
        <v>8</v>
      </c>
      <c r="F153" s="4">
        <v>45467</v>
      </c>
    </row>
    <row r="154" spans="1:6" x14ac:dyDescent="0.3">
      <c r="A154" s="2" t="s">
        <v>6</v>
      </c>
      <c r="B154" s="2" t="s">
        <v>17</v>
      </c>
      <c r="C154" s="3">
        <v>5800000</v>
      </c>
      <c r="D154" s="2">
        <v>2777</v>
      </c>
      <c r="E154" s="2" t="s">
        <v>8</v>
      </c>
      <c r="F154" s="4">
        <v>45419</v>
      </c>
    </row>
    <row r="155" spans="1:6" x14ac:dyDescent="0.3">
      <c r="A155" s="2" t="s">
        <v>21</v>
      </c>
      <c r="B155" s="2" t="s">
        <v>13</v>
      </c>
      <c r="C155" s="3">
        <v>4300000</v>
      </c>
      <c r="D155" s="2">
        <v>1395</v>
      </c>
      <c r="E155" s="2" t="s">
        <v>8</v>
      </c>
      <c r="F155" s="4">
        <v>45419</v>
      </c>
    </row>
    <row r="156" spans="1:6" x14ac:dyDescent="0.3">
      <c r="A156" s="2" t="s">
        <v>20</v>
      </c>
      <c r="B156" s="2" t="s">
        <v>15</v>
      </c>
      <c r="C156" s="3">
        <v>18300000</v>
      </c>
      <c r="D156" s="2">
        <v>3714</v>
      </c>
      <c r="E156" s="2" t="s">
        <v>18</v>
      </c>
      <c r="F156" s="4">
        <v>45451</v>
      </c>
    </row>
    <row r="157" spans="1:6" x14ac:dyDescent="0.3">
      <c r="A157" s="2" t="s">
        <v>16</v>
      </c>
      <c r="B157" s="2" t="s">
        <v>15</v>
      </c>
      <c r="C157" s="3">
        <v>26800000</v>
      </c>
      <c r="D157" s="2">
        <v>3339</v>
      </c>
      <c r="E157" s="2" t="s">
        <v>18</v>
      </c>
      <c r="F157" s="4">
        <v>45463</v>
      </c>
    </row>
    <row r="158" spans="1:6" x14ac:dyDescent="0.3">
      <c r="A158" s="2" t="s">
        <v>9</v>
      </c>
      <c r="B158" s="2" t="s">
        <v>7</v>
      </c>
      <c r="C158" s="3">
        <v>18700000</v>
      </c>
      <c r="D158" s="2">
        <v>3730</v>
      </c>
      <c r="E158" s="2" t="s">
        <v>11</v>
      </c>
      <c r="F158" s="4">
        <v>45468</v>
      </c>
    </row>
    <row r="159" spans="1:6" x14ac:dyDescent="0.3">
      <c r="A159" s="2" t="s">
        <v>12</v>
      </c>
      <c r="B159" s="2" t="s">
        <v>17</v>
      </c>
      <c r="C159" s="3">
        <v>15900000</v>
      </c>
      <c r="D159" s="2">
        <v>2918</v>
      </c>
      <c r="E159" s="2" t="s">
        <v>8</v>
      </c>
      <c r="F159" s="4">
        <v>45430</v>
      </c>
    </row>
    <row r="160" spans="1:6" x14ac:dyDescent="0.3">
      <c r="A160" s="2" t="s">
        <v>9</v>
      </c>
      <c r="B160" s="2" t="s">
        <v>15</v>
      </c>
      <c r="C160" s="3">
        <v>13800000</v>
      </c>
      <c r="D160" s="2">
        <v>2755</v>
      </c>
      <c r="E160" s="2" t="s">
        <v>11</v>
      </c>
      <c r="F160" s="4">
        <v>45303</v>
      </c>
    </row>
    <row r="161" spans="1:6" x14ac:dyDescent="0.3">
      <c r="A161" s="2" t="s">
        <v>14</v>
      </c>
      <c r="B161" s="2" t="s">
        <v>15</v>
      </c>
      <c r="C161" s="3">
        <v>6100000</v>
      </c>
      <c r="D161" s="2">
        <v>2554</v>
      </c>
      <c r="E161" s="2" t="s">
        <v>11</v>
      </c>
      <c r="F161" s="4">
        <v>45341</v>
      </c>
    </row>
    <row r="162" spans="1:6" x14ac:dyDescent="0.3">
      <c r="A162" s="2" t="s">
        <v>14</v>
      </c>
      <c r="B162" s="2" t="s">
        <v>10</v>
      </c>
      <c r="C162" s="3">
        <v>13700000</v>
      </c>
      <c r="D162" s="2">
        <v>1820</v>
      </c>
      <c r="E162" s="2" t="s">
        <v>8</v>
      </c>
      <c r="F162" s="4">
        <v>45309</v>
      </c>
    </row>
    <row r="163" spans="1:6" x14ac:dyDescent="0.3">
      <c r="A163" s="2" t="s">
        <v>6</v>
      </c>
      <c r="B163" s="2" t="s">
        <v>10</v>
      </c>
      <c r="C163" s="3">
        <v>7900000</v>
      </c>
      <c r="D163" s="2">
        <v>801</v>
      </c>
      <c r="E163" s="2" t="s">
        <v>18</v>
      </c>
      <c r="F163" s="4">
        <v>45457</v>
      </c>
    </row>
    <row r="164" spans="1:6" x14ac:dyDescent="0.3">
      <c r="A164" s="2" t="s">
        <v>14</v>
      </c>
      <c r="B164" s="2" t="s">
        <v>10</v>
      </c>
      <c r="C164" s="3">
        <v>6700000</v>
      </c>
      <c r="D164" s="2">
        <v>1714</v>
      </c>
      <c r="E164" s="2" t="s">
        <v>18</v>
      </c>
      <c r="F164" s="4">
        <v>45398</v>
      </c>
    </row>
    <row r="165" spans="1:6" x14ac:dyDescent="0.3">
      <c r="A165" s="2" t="s">
        <v>20</v>
      </c>
      <c r="B165" s="2" t="s">
        <v>7</v>
      </c>
      <c r="C165" s="3">
        <v>19800000</v>
      </c>
      <c r="D165" s="2">
        <v>1243</v>
      </c>
      <c r="E165" s="2" t="s">
        <v>8</v>
      </c>
      <c r="F165" s="4">
        <v>45364</v>
      </c>
    </row>
    <row r="166" spans="1:6" x14ac:dyDescent="0.3">
      <c r="A166" s="2" t="s">
        <v>21</v>
      </c>
      <c r="B166" s="2" t="s">
        <v>7</v>
      </c>
      <c r="C166" s="3">
        <v>10900000</v>
      </c>
      <c r="D166" s="2">
        <v>1386</v>
      </c>
      <c r="E166" s="2" t="s">
        <v>8</v>
      </c>
      <c r="F166" s="4">
        <v>45312</v>
      </c>
    </row>
    <row r="167" spans="1:6" x14ac:dyDescent="0.3">
      <c r="A167" s="2" t="s">
        <v>20</v>
      </c>
      <c r="B167" s="2" t="s">
        <v>15</v>
      </c>
      <c r="C167" s="3">
        <v>27800000</v>
      </c>
      <c r="D167" s="2">
        <v>3894</v>
      </c>
      <c r="E167" s="2" t="s">
        <v>18</v>
      </c>
      <c r="F167" s="4">
        <v>45433</v>
      </c>
    </row>
    <row r="168" spans="1:6" x14ac:dyDescent="0.3">
      <c r="A168" s="2" t="s">
        <v>21</v>
      </c>
      <c r="B168" s="2" t="s">
        <v>13</v>
      </c>
      <c r="C168" s="3">
        <v>15700000</v>
      </c>
      <c r="D168" s="2">
        <v>1653</v>
      </c>
      <c r="E168" s="2" t="s">
        <v>18</v>
      </c>
      <c r="F168" s="4">
        <v>45448</v>
      </c>
    </row>
    <row r="169" spans="1:6" x14ac:dyDescent="0.3">
      <c r="A169" s="2" t="s">
        <v>6</v>
      </c>
      <c r="B169" s="2" t="s">
        <v>7</v>
      </c>
      <c r="C169" s="3">
        <v>4200000</v>
      </c>
      <c r="D169" s="2">
        <v>1504</v>
      </c>
      <c r="E169" s="2" t="s">
        <v>11</v>
      </c>
      <c r="F169" s="4">
        <v>45387</v>
      </c>
    </row>
    <row r="170" spans="1:6" x14ac:dyDescent="0.3">
      <c r="A170" s="2" t="s">
        <v>20</v>
      </c>
      <c r="B170" s="2" t="s">
        <v>15</v>
      </c>
      <c r="C170" s="3">
        <v>15000000</v>
      </c>
      <c r="D170" s="2">
        <v>636</v>
      </c>
      <c r="E170" s="2" t="s">
        <v>18</v>
      </c>
      <c r="F170" s="4">
        <v>45370</v>
      </c>
    </row>
    <row r="171" spans="1:6" x14ac:dyDescent="0.3">
      <c r="A171" s="2" t="s">
        <v>12</v>
      </c>
      <c r="B171" s="2" t="s">
        <v>17</v>
      </c>
      <c r="C171" s="3">
        <v>23600000</v>
      </c>
      <c r="D171" s="2">
        <v>952</v>
      </c>
      <c r="E171" s="2" t="s">
        <v>8</v>
      </c>
      <c r="F171" s="4">
        <v>45329</v>
      </c>
    </row>
    <row r="172" spans="1:6" x14ac:dyDescent="0.3">
      <c r="A172" s="2" t="s">
        <v>14</v>
      </c>
      <c r="B172" s="2" t="s">
        <v>13</v>
      </c>
      <c r="C172" s="3">
        <v>18000000</v>
      </c>
      <c r="D172" s="2">
        <v>2503</v>
      </c>
      <c r="E172" s="2" t="s">
        <v>18</v>
      </c>
      <c r="F172" s="4">
        <v>45416</v>
      </c>
    </row>
    <row r="173" spans="1:6" x14ac:dyDescent="0.3">
      <c r="A173" s="2" t="s">
        <v>14</v>
      </c>
      <c r="B173" s="2" t="s">
        <v>7</v>
      </c>
      <c r="C173" s="3">
        <v>15300000</v>
      </c>
      <c r="D173" s="2">
        <v>2566</v>
      </c>
      <c r="E173" s="2" t="s">
        <v>18</v>
      </c>
      <c r="F173" s="4">
        <v>45397</v>
      </c>
    </row>
    <row r="174" spans="1:6" x14ac:dyDescent="0.3">
      <c r="A174" s="2" t="s">
        <v>12</v>
      </c>
      <c r="B174" s="2" t="s">
        <v>17</v>
      </c>
      <c r="C174" s="3">
        <v>26100000</v>
      </c>
      <c r="D174" s="2">
        <v>574</v>
      </c>
      <c r="E174" s="2" t="s">
        <v>18</v>
      </c>
      <c r="F174" s="4">
        <v>45367</v>
      </c>
    </row>
    <row r="175" spans="1:6" x14ac:dyDescent="0.3">
      <c r="A175" s="2" t="s">
        <v>6</v>
      </c>
      <c r="B175" s="2" t="s">
        <v>7</v>
      </c>
      <c r="C175" s="3">
        <v>28900000</v>
      </c>
      <c r="D175" s="2">
        <v>2584</v>
      </c>
      <c r="E175" s="2" t="s">
        <v>11</v>
      </c>
      <c r="F175" s="4">
        <v>45345</v>
      </c>
    </row>
    <row r="176" spans="1:6" x14ac:dyDescent="0.3">
      <c r="A176" s="2" t="s">
        <v>6</v>
      </c>
      <c r="B176" s="2" t="s">
        <v>13</v>
      </c>
      <c r="C176" s="3">
        <v>3100000</v>
      </c>
      <c r="D176" s="2">
        <v>2107</v>
      </c>
      <c r="E176" s="2" t="s">
        <v>8</v>
      </c>
      <c r="F176" s="4">
        <v>45362</v>
      </c>
    </row>
    <row r="177" spans="1:6" x14ac:dyDescent="0.3">
      <c r="A177" s="2" t="s">
        <v>19</v>
      </c>
      <c r="B177" s="2" t="s">
        <v>13</v>
      </c>
      <c r="C177" s="3">
        <v>4000000</v>
      </c>
      <c r="D177" s="2">
        <v>3224</v>
      </c>
      <c r="E177" s="2" t="s">
        <v>8</v>
      </c>
      <c r="F177" s="4">
        <v>45365</v>
      </c>
    </row>
    <row r="178" spans="1:6" x14ac:dyDescent="0.3">
      <c r="A178" s="2" t="s">
        <v>6</v>
      </c>
      <c r="B178" s="2" t="s">
        <v>17</v>
      </c>
      <c r="C178" s="3">
        <v>27700000</v>
      </c>
      <c r="D178" s="2">
        <v>1704</v>
      </c>
      <c r="E178" s="2" t="s">
        <v>8</v>
      </c>
      <c r="F178" s="4">
        <v>45355</v>
      </c>
    </row>
    <row r="179" spans="1:6" x14ac:dyDescent="0.3">
      <c r="A179" s="2" t="s">
        <v>19</v>
      </c>
      <c r="B179" s="2" t="s">
        <v>17</v>
      </c>
      <c r="C179" s="3">
        <v>23400000</v>
      </c>
      <c r="D179" s="2">
        <v>1255</v>
      </c>
      <c r="E179" s="2" t="s">
        <v>11</v>
      </c>
      <c r="F179" s="4">
        <v>45402</v>
      </c>
    </row>
    <row r="180" spans="1:6" x14ac:dyDescent="0.3">
      <c r="A180" s="2" t="s">
        <v>9</v>
      </c>
      <c r="B180" s="2" t="s">
        <v>7</v>
      </c>
      <c r="C180" s="3">
        <v>24800000</v>
      </c>
      <c r="D180" s="2">
        <v>2448</v>
      </c>
      <c r="E180" s="2" t="s">
        <v>8</v>
      </c>
      <c r="F180" s="4">
        <v>45339</v>
      </c>
    </row>
    <row r="181" spans="1:6" x14ac:dyDescent="0.3">
      <c r="A181" s="2" t="s">
        <v>16</v>
      </c>
      <c r="B181" s="2" t="s">
        <v>15</v>
      </c>
      <c r="C181" s="3">
        <v>15500000</v>
      </c>
      <c r="D181" s="2">
        <v>2472</v>
      </c>
      <c r="E181" s="2" t="s">
        <v>18</v>
      </c>
      <c r="F181" s="4">
        <v>45302</v>
      </c>
    </row>
    <row r="182" spans="1:6" x14ac:dyDescent="0.3">
      <c r="A182" s="2" t="s">
        <v>19</v>
      </c>
      <c r="B182" s="2" t="s">
        <v>13</v>
      </c>
      <c r="C182" s="3">
        <v>13100000</v>
      </c>
      <c r="D182" s="2">
        <v>2990</v>
      </c>
      <c r="E182" s="2" t="s">
        <v>11</v>
      </c>
      <c r="F182" s="4">
        <v>45337</v>
      </c>
    </row>
    <row r="183" spans="1:6" x14ac:dyDescent="0.3">
      <c r="A183" s="2" t="s">
        <v>14</v>
      </c>
      <c r="B183" s="2" t="s">
        <v>17</v>
      </c>
      <c r="C183" s="3">
        <v>5900000</v>
      </c>
      <c r="D183" s="2">
        <v>3558</v>
      </c>
      <c r="E183" s="2" t="s">
        <v>11</v>
      </c>
      <c r="F183" s="4">
        <v>45310</v>
      </c>
    </row>
    <row r="184" spans="1:6" x14ac:dyDescent="0.3">
      <c r="A184" s="2" t="s">
        <v>16</v>
      </c>
      <c r="B184" s="2" t="s">
        <v>13</v>
      </c>
      <c r="C184" s="3">
        <v>26300000</v>
      </c>
      <c r="D184" s="2">
        <v>1071</v>
      </c>
      <c r="E184" s="2" t="s">
        <v>11</v>
      </c>
      <c r="F184" s="4">
        <v>45455</v>
      </c>
    </row>
    <row r="185" spans="1:6" x14ac:dyDescent="0.3">
      <c r="A185" s="2" t="s">
        <v>12</v>
      </c>
      <c r="B185" s="2" t="s">
        <v>17</v>
      </c>
      <c r="C185" s="3">
        <v>19000000</v>
      </c>
      <c r="D185" s="2">
        <v>3339</v>
      </c>
      <c r="E185" s="2" t="s">
        <v>18</v>
      </c>
      <c r="F185" s="4">
        <v>45370</v>
      </c>
    </row>
    <row r="186" spans="1:6" x14ac:dyDescent="0.3">
      <c r="A186" s="2" t="s">
        <v>20</v>
      </c>
      <c r="B186" s="2" t="s">
        <v>10</v>
      </c>
      <c r="C186" s="3">
        <v>20100000</v>
      </c>
      <c r="D186" s="2">
        <v>1608</v>
      </c>
      <c r="E186" s="2" t="s">
        <v>11</v>
      </c>
      <c r="F186" s="4">
        <v>45337</v>
      </c>
    </row>
    <row r="187" spans="1:6" x14ac:dyDescent="0.3">
      <c r="A187" s="2" t="s">
        <v>20</v>
      </c>
      <c r="B187" s="2" t="s">
        <v>13</v>
      </c>
      <c r="C187" s="3">
        <v>20900000</v>
      </c>
      <c r="D187" s="2">
        <v>1354</v>
      </c>
      <c r="E187" s="2" t="s">
        <v>18</v>
      </c>
      <c r="F187" s="4">
        <v>45367</v>
      </c>
    </row>
    <row r="188" spans="1:6" x14ac:dyDescent="0.3">
      <c r="A188" s="2" t="s">
        <v>19</v>
      </c>
      <c r="B188" s="2" t="s">
        <v>17</v>
      </c>
      <c r="C188" s="3">
        <v>15700000</v>
      </c>
      <c r="D188" s="2">
        <v>3080</v>
      </c>
      <c r="E188" s="2" t="s">
        <v>18</v>
      </c>
      <c r="F188" s="4">
        <v>45303</v>
      </c>
    </row>
    <row r="189" spans="1:6" x14ac:dyDescent="0.3">
      <c r="A189" s="2" t="s">
        <v>14</v>
      </c>
      <c r="B189" s="2" t="s">
        <v>10</v>
      </c>
      <c r="C189" s="3">
        <v>23600000</v>
      </c>
      <c r="D189" s="2">
        <v>2968</v>
      </c>
      <c r="E189" s="2" t="s">
        <v>18</v>
      </c>
      <c r="F189" s="4">
        <v>45319</v>
      </c>
    </row>
    <row r="190" spans="1:6" x14ac:dyDescent="0.3">
      <c r="A190" s="2" t="s">
        <v>14</v>
      </c>
      <c r="B190" s="2" t="s">
        <v>10</v>
      </c>
      <c r="C190" s="3">
        <v>19200000</v>
      </c>
      <c r="D190" s="2">
        <v>1258</v>
      </c>
      <c r="E190" s="2" t="s">
        <v>8</v>
      </c>
      <c r="F190" s="4">
        <v>45447</v>
      </c>
    </row>
    <row r="191" spans="1:6" x14ac:dyDescent="0.3">
      <c r="A191" s="2" t="s">
        <v>14</v>
      </c>
      <c r="B191" s="2" t="s">
        <v>10</v>
      </c>
      <c r="C191" s="3">
        <v>8000000</v>
      </c>
      <c r="D191" s="2">
        <v>3116</v>
      </c>
      <c r="E191" s="2" t="s">
        <v>18</v>
      </c>
      <c r="F191" s="4">
        <v>45343</v>
      </c>
    </row>
    <row r="192" spans="1:6" x14ac:dyDescent="0.3">
      <c r="A192" s="2" t="s">
        <v>9</v>
      </c>
      <c r="B192" s="2" t="s">
        <v>7</v>
      </c>
      <c r="C192" s="3">
        <v>23100000</v>
      </c>
      <c r="D192" s="2">
        <v>3977</v>
      </c>
      <c r="E192" s="2" t="s">
        <v>8</v>
      </c>
      <c r="F192" s="4">
        <v>45447</v>
      </c>
    </row>
    <row r="193" spans="1:6" x14ac:dyDescent="0.3">
      <c r="A193" s="2" t="s">
        <v>14</v>
      </c>
      <c r="B193" s="2" t="s">
        <v>7</v>
      </c>
      <c r="C193" s="3">
        <v>8300000</v>
      </c>
      <c r="D193" s="2">
        <v>3420</v>
      </c>
      <c r="E193" s="2" t="s">
        <v>11</v>
      </c>
      <c r="F193" s="4">
        <v>45418</v>
      </c>
    </row>
    <row r="194" spans="1:6" x14ac:dyDescent="0.3">
      <c r="A194" s="2" t="s">
        <v>21</v>
      </c>
      <c r="B194" s="2" t="s">
        <v>17</v>
      </c>
      <c r="C194" s="3">
        <v>27000000</v>
      </c>
      <c r="D194" s="2">
        <v>675</v>
      </c>
      <c r="E194" s="2" t="s">
        <v>11</v>
      </c>
      <c r="F194" s="4">
        <v>45343</v>
      </c>
    </row>
    <row r="195" spans="1:6" x14ac:dyDescent="0.3">
      <c r="A195" s="2" t="s">
        <v>19</v>
      </c>
      <c r="B195" s="2" t="s">
        <v>7</v>
      </c>
      <c r="C195" s="3">
        <v>17400000</v>
      </c>
      <c r="D195" s="2">
        <v>981</v>
      </c>
      <c r="E195" s="2" t="s">
        <v>11</v>
      </c>
      <c r="F195" s="4">
        <v>45302</v>
      </c>
    </row>
    <row r="196" spans="1:6" x14ac:dyDescent="0.3">
      <c r="A196" s="2" t="s">
        <v>14</v>
      </c>
      <c r="B196" s="2" t="s">
        <v>13</v>
      </c>
      <c r="C196" s="3">
        <v>27000000</v>
      </c>
      <c r="D196" s="2">
        <v>3323</v>
      </c>
      <c r="E196" s="2" t="s">
        <v>8</v>
      </c>
      <c r="F196" s="4">
        <v>45416</v>
      </c>
    </row>
    <row r="197" spans="1:6" x14ac:dyDescent="0.3">
      <c r="A197" s="2" t="s">
        <v>16</v>
      </c>
      <c r="B197" s="2" t="s">
        <v>7</v>
      </c>
      <c r="C197" s="3">
        <v>14500000</v>
      </c>
      <c r="D197" s="2">
        <v>3510</v>
      </c>
      <c r="E197" s="2" t="s">
        <v>8</v>
      </c>
      <c r="F197" s="4">
        <v>45453</v>
      </c>
    </row>
    <row r="198" spans="1:6" x14ac:dyDescent="0.3">
      <c r="A198" s="2" t="s">
        <v>12</v>
      </c>
      <c r="B198" s="2" t="s">
        <v>10</v>
      </c>
      <c r="C198" s="3">
        <v>26400000</v>
      </c>
      <c r="D198" s="2">
        <v>3360</v>
      </c>
      <c r="E198" s="2" t="s">
        <v>11</v>
      </c>
      <c r="F198" s="4">
        <v>45325</v>
      </c>
    </row>
    <row r="199" spans="1:6" x14ac:dyDescent="0.3">
      <c r="A199" s="2" t="s">
        <v>21</v>
      </c>
      <c r="B199" s="2" t="s">
        <v>10</v>
      </c>
      <c r="C199" s="3">
        <v>29800000</v>
      </c>
      <c r="D199" s="2">
        <v>2152</v>
      </c>
      <c r="E199" s="2" t="s">
        <v>8</v>
      </c>
      <c r="F199" s="4">
        <v>45366</v>
      </c>
    </row>
    <row r="200" spans="1:6" x14ac:dyDescent="0.3">
      <c r="A200" s="2" t="s">
        <v>20</v>
      </c>
      <c r="B200" s="2" t="s">
        <v>17</v>
      </c>
      <c r="C200" s="3">
        <v>28600000</v>
      </c>
      <c r="D200" s="2">
        <v>2042</v>
      </c>
      <c r="E200" s="2" t="s">
        <v>8</v>
      </c>
      <c r="F200" s="4">
        <v>45357</v>
      </c>
    </row>
    <row r="201" spans="1:6" x14ac:dyDescent="0.3">
      <c r="A201" s="2" t="s">
        <v>12</v>
      </c>
      <c r="B201" s="2" t="s">
        <v>15</v>
      </c>
      <c r="C201" s="3">
        <v>7100000</v>
      </c>
      <c r="D201" s="2">
        <v>2891</v>
      </c>
      <c r="E201" s="2" t="s">
        <v>8</v>
      </c>
      <c r="F201" s="4">
        <v>45295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2025-01-09T10:50:04Z</dcterms:created>
  <dcterms:modified xsi:type="dcterms:W3CDTF">2025-01-10T14:11:50Z</dcterms:modified>
</cp:coreProperties>
</file>