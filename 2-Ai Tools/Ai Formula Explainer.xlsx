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dd-Ins Testing\2-Ai Tools\"/>
    </mc:Choice>
  </mc:AlternateContent>
  <xr:revisionPtr revIDLastSave="0" documentId="13_ncr:1_{587C665C-154B-4B2C-8807-855064CDC7BB}" xr6:coauthVersionLast="47" xr6:coauthVersionMax="47" xr10:uidLastSave="{00000000-0000-0000-0000-000000000000}"/>
  <bookViews>
    <workbookView xWindow="-108" yWindow="-108" windowWidth="23256" windowHeight="12456" xr2:uid="{10053E30-646E-43B5-B6FA-9FC94B890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10" i="1"/>
  <c r="M8" i="1"/>
  <c r="M7" i="1"/>
  <c r="M6" i="1"/>
  <c r="M5" i="1"/>
</calcChain>
</file>

<file path=xl/sharedStrings.xml><?xml version="1.0" encoding="utf-8"?>
<sst xmlns="http://schemas.openxmlformats.org/spreadsheetml/2006/main" count="608" uniqueCount="236">
  <si>
    <t>Order_ID</t>
  </si>
  <si>
    <t>Region</t>
  </si>
  <si>
    <t>City</t>
  </si>
  <si>
    <t>State</t>
  </si>
  <si>
    <t>Customer_Name</t>
  </si>
  <si>
    <t>Order_Type</t>
  </si>
  <si>
    <t>DOB</t>
  </si>
  <si>
    <t>Customer_Age</t>
  </si>
  <si>
    <t>Quantity</t>
  </si>
  <si>
    <t>Price_Per_Unit</t>
  </si>
  <si>
    <t>Total_Sales</t>
  </si>
  <si>
    <t>ORD0459</t>
  </si>
  <si>
    <t>North</t>
  </si>
  <si>
    <t>Lucknow</t>
  </si>
  <si>
    <t>Uttar Pradesh</t>
  </si>
  <si>
    <t>Zaina Shankar</t>
  </si>
  <si>
    <t>COD</t>
  </si>
  <si>
    <t>ORD0803</t>
  </si>
  <si>
    <t>Delhi</t>
  </si>
  <si>
    <t>Vihaan Thaker</t>
  </si>
  <si>
    <t>ORD0847</t>
  </si>
  <si>
    <t>West</t>
  </si>
  <si>
    <t>Ahmedabad</t>
  </si>
  <si>
    <t>Gujarat</t>
  </si>
  <si>
    <t>Sana Balan</t>
  </si>
  <si>
    <t>Prepaid</t>
  </si>
  <si>
    <t>ORD0887</t>
  </si>
  <si>
    <t>Mumbai</t>
  </si>
  <si>
    <t>Maharashtra</t>
  </si>
  <si>
    <t>Alia Madan</t>
  </si>
  <si>
    <t>ORD0905</t>
  </si>
  <si>
    <t>East</t>
  </si>
  <si>
    <t>Kolkata</t>
  </si>
  <si>
    <t>West Bengal</t>
  </si>
  <si>
    <t>Dishani Jani</t>
  </si>
  <si>
    <t>ORD0931</t>
  </si>
  <si>
    <t>Rasha Krishnan</t>
  </si>
  <si>
    <t>ORD0147</t>
  </si>
  <si>
    <t>South</t>
  </si>
  <si>
    <t>Bangalore</t>
  </si>
  <si>
    <t>Karnataka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</si>
  <si>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</si>
  <si>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</si>
  <si>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</si>
  <si>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</si>
  <si>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</si>
  <si>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</si>
  <si>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</si>
  <si>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</si>
  <si>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</si>
  <si>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</si>
  <si>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</si>
  <si>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</si>
  <si>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</si>
  <si>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</si>
  <si>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Chennai</t>
  </si>
  <si>
    <t>Tamil Nadu</t>
  </si>
  <si>
    <t>Vihaan Gera</t>
  </si>
  <si>
    <t>ORD0590</t>
  </si>
  <si>
    <t>Pari Bassi</t>
  </si>
  <si>
    <t>ORD0698</t>
  </si>
  <si>
    <t>Zaina Bhalla</t>
  </si>
  <si>
    <t>ORD0622</t>
  </si>
  <si>
    <t>Pune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</si>
  <si>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</si>
  <si>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</si>
  <si>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</si>
  <si>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</si>
  <si>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</si>
  <si>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</si>
  <si>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</si>
  <si>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</si>
  <si>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</si>
  <si>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</si>
  <si>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</si>
  <si>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</si>
  <si>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</si>
  <si>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</si>
  <si>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</si>
  <si>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</si>
  <si>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</si>
  <si>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</si>
  <si>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</si>
  <si>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</si>
  <si>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</si>
  <si>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</si>
  <si>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</si>
  <si>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</si>
  <si>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</si>
  <si>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</si>
  <si>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</si>
  <si>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</si>
  <si>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</si>
  <si>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</si>
  <si>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</si>
  <si>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</si>
  <si>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</si>
  <si>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</si>
  <si>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</si>
  <si>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</si>
  <si>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Hyderabad</t>
  </si>
  <si>
    <t>Telangana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</si>
  <si>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</si>
  <si>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</si>
  <si>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</si>
  <si>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</si>
  <si>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</si>
  <si>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</si>
  <si>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</si>
  <si>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</si>
  <si>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</si>
  <si>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</si>
  <si>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</si>
  <si>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</si>
  <si>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</si>
  <si>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</si>
  <si>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</si>
  <si>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</si>
  <si>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</si>
  <si>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</si>
  <si>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</si>
  <si>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</si>
  <si>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</si>
  <si>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</si>
  <si>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</si>
  <si>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</si>
  <si>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</si>
  <si>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</si>
  <si>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</si>
  <si>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</si>
  <si>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</si>
  <si>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</si>
  <si>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</si>
  <si>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</si>
  <si>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</si>
  <si>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</si>
  <si>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</si>
  <si>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</si>
  <si>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</si>
  <si>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</si>
  <si>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</si>
  <si>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</si>
  <si>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</si>
  <si>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</si>
  <si>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</si>
  <si>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</si>
  <si>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</si>
  <si>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</si>
  <si>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</si>
  <si>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</si>
  <si>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</si>
  <si>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</si>
  <si>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</si>
  <si>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</si>
  <si>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</si>
  <si>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</si>
  <si>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</si>
  <si>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</si>
  <si>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</si>
  <si>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</si>
  <si>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</si>
  <si>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</si>
  <si>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</si>
  <si>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</si>
  <si>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</si>
  <si>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</si>
  <si>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</si>
  <si>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</si>
  <si>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</si>
  <si>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</si>
  <si>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</si>
  <si>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</si>
  <si>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</si>
  <si>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</si>
  <si>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</si>
  <si>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</si>
  <si>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</si>
  <si>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</si>
  <si>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</si>
  <si>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</si>
  <si>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</si>
  <si>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</si>
  <si>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</si>
  <si>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</si>
  <si>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</si>
  <si>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</si>
  <si>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</si>
  <si>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</si>
  <si>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</si>
  <si>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</si>
  <si>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</si>
  <si>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</si>
  <si>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</si>
  <si>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</si>
  <si>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</si>
  <si>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</si>
  <si>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</si>
  <si>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</si>
  <si>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</si>
  <si>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</si>
  <si>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</si>
  <si>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</si>
  <si>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</si>
  <si>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</si>
  <si>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</si>
  <si>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</si>
  <si>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</si>
  <si>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</si>
  <si>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</si>
  <si>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</si>
  <si>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</si>
  <si>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</si>
  <si>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</si>
  <si>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</si>
  <si>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</si>
  <si>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</si>
  <si>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</si>
  <si>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</si>
  <si>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</si>
  <si>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</si>
  <si>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</si>
  <si>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</si>
  <si>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</si>
  <si>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</si>
  <si>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</si>
  <si>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</si>
  <si>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</si>
  <si>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</si>
  <si>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</si>
  <si>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</si>
  <si>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</si>
  <si>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</si>
  <si>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</si>
  <si>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Formulas</t>
  </si>
  <si>
    <t xml:space="preserve">Ai Formula Explainer Output </t>
  </si>
  <si>
    <t>Ai Formula Explainer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</si>
</sst>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4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EAEAEA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DCDCDC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2" xfId="0" applyFont="1" applyFill="1" applyBorder="1"/>
    <xf numFmtId="0" fontId="3" fillId="2" borderId="3" xfId="0" applyFont="1" applyFill="1" applyBorder="1"/>
    <xf numFmtId="0" fontId="0" fillId="0" borderId="2" xfId="0" applyBorder="1"/>
    <xf numFmtId="0" fontId="1" fillId="0" borderId="2" xfId="0" applyFont="1" applyBorder="1"/>
    <xf numFmtId="14" fontId="0" fillId="0" borderId="2" xfId="0" applyNumberFormat="1" applyBorder="1"/>
    <xf numFmtId="0" fontId="0" fillId="0" borderId="2" xfId="0" applyBorder="1" applyAlignment="1">
      <alignment horizontal="right"/>
    </xf>
    <xf numFmtId="0" fontId="1" fillId="0" borderId="3" xfId="0" applyFont="1" applyBorder="1"/>
    <xf numFmtId="0" fontId="4" fillId="2" borderId="4" xfId="0" applyFont="1" applyFill="1" applyBorder="1"/>
    <xf numFmtId="0" fontId="0" fillId="0" borderId="3" xfId="0" applyBorder="1"/>
    <xf numFmtId="0" fontId="0" fillId="3" borderId="0" xfId="0" applyFill="1"/>
    <xf numFmtId="0" fontId="0" fillId="0" borderId="3" xfId="0" quotePrefix="1" applyBorder="1"/>
    <xf numFmtId="0" fontId="0" fillId="0" borderId="1" xfId="0" quotePrefix="1" applyBorder="1"/>
    <xf numFmtId="0" fontId="0" fillId="0" borderId="5" xfId="0" applyBorder="1"/>
    <xf numFmtId="14" fontId="0" fillId="0" borderId="5" xfId="0" applyNumberFormat="1" applyBorder="1"/>
    <xf numFmtId="0" fontId="0" fillId="0" borderId="5" xfId="0" applyBorder="1" applyAlignment="1">
      <alignment horizontal="right"/>
    </xf>
    <xf numFmtId="0" fontId="1" fillId="0" borderId="1" xfId="0" applyFont="1" applyBorder="1"/>
    <xf numFmtId="0" fontId="2" fillId="3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7801-D638-4E0E-B73F-E40FEBFA6697}">
  <sheetPr codeName="Sheet1"/>
  <dimension ref="A1:O100"/>
  <sheetViews>
    <sheetView tabSelected="1" workbookViewId="0">
      <selection activeCell="J15" sqref="J15"/>
    </sheetView>
  </sheetViews>
  <sheetFormatPr defaultRowHeight="14.4" x14ac:dyDescent="0.3"/>
  <cols>
    <col min="1" max="1" width="8.6640625" bestFit="1" customWidth="1"/>
    <col min="2" max="2" width="6.44140625" bestFit="1" customWidth="1"/>
    <col min="3" max="3" width="10.6640625" bestFit="1" customWidth="1"/>
    <col min="4" max="4" width="12" bestFit="1" customWidth="1"/>
    <col min="5" max="5" width="18.33203125" bestFit="1" customWidth="1"/>
    <col min="6" max="6" width="10.109375" bestFit="1" customWidth="1"/>
    <col min="7" max="7" width="10.33203125" bestFit="1" customWidth="1"/>
    <col min="8" max="8" width="12.6640625" bestFit="1" customWidth="1"/>
    <col min="9" max="9" width="7.6640625" bestFit="1" customWidth="1"/>
    <col min="10" max="10" width="12.77734375" bestFit="1" customWidth="1"/>
    <col min="11" max="11" width="10" bestFit="1" customWidth="1"/>
    <col min="13" max="13" width="44.6640625" customWidth="1"/>
    <col min="14" max="14" width="32" customWidth="1"/>
    <col min="15" max="15" width="22.44140625" customWidth="1"/>
    <col min="16" max="16" width="23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5" ht="18" x14ac:dyDescent="0.35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5">
        <v>28929</v>
      </c>
      <c r="H2" s="6">
        <v>60</v>
      </c>
      <c r="I2" s="3">
        <v>10</v>
      </c>
      <c r="J2" s="4">
        <v>13375</v>
      </c>
      <c r="K2" s="7">
        <v>133750</v>
      </c>
      <c r="M2" s="8" t="s">
        <v>235</v>
      </c>
    </row>
    <row r="3" spans="1:15" x14ac:dyDescent="0.3">
      <c r="A3" s="3" t="s">
        <v>17</v>
      </c>
      <c r="B3" s="3" t="s">
        <v>12</v>
      </c>
      <c r="C3" s="3" t="s">
        <v>18</v>
      </c>
      <c r="D3" s="3" t="s">
        <v>18</v>
      </c>
      <c r="E3" s="4" t="s">
        <v>19</v>
      </c>
      <c r="F3" s="3" t="s">
        <v>16</v>
      </c>
      <c r="G3" s="5">
        <v>34908</v>
      </c>
      <c r="H3" s="6">
        <v>30</v>
      </c>
      <c r="I3" s="3">
        <v>7</v>
      </c>
      <c r="J3" s="4">
        <v>45637</v>
      </c>
      <c r="K3" s="7">
        <v>319459</v>
      </c>
    </row>
    <row r="4" spans="1:15" x14ac:dyDescent="0.3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5">
        <v>32214</v>
      </c>
      <c r="H4" s="3">
        <v>37</v>
      </c>
      <c r="I4" s="3">
        <v>6</v>
      </c>
      <c r="J4" s="3">
        <v>45674</v>
      </c>
      <c r="K4" s="9">
        <v>274044</v>
      </c>
      <c r="M4" s="10" t="s">
        <v>233</v>
      </c>
    </row>
    <row r="5" spans="1:15" x14ac:dyDescent="0.3">
      <c r="A5" s="3" t="s">
        <v>26</v>
      </c>
      <c r="B5" s="3" t="s">
        <v>21</v>
      </c>
      <c r="C5" s="3" t="s">
        <v>27</v>
      </c>
      <c r="D5" s="3" t="s">
        <v>28</v>
      </c>
      <c r="E5" s="4" t="s">
        <v>29</v>
      </c>
      <c r="F5" s="3" t="s">
        <v>25</v>
      </c>
      <c r="G5" s="5">
        <v>27564</v>
      </c>
      <c r="H5" s="6">
        <v>50</v>
      </c>
      <c r="I5" s="3">
        <v>10</v>
      </c>
      <c r="J5" s="4">
        <v>1780</v>
      </c>
      <c r="K5" s="7">
        <v>17800</v>
      </c>
      <c r="M5" s="9">
        <f>SUM(K:K)</f>
        <v>14618977</v>
      </c>
    </row>
    <row r="6" spans="1:15" x14ac:dyDescent="0.3">
      <c r="A6" s="3" t="s">
        <v>30</v>
      </c>
      <c r="B6" s="3" t="s">
        <v>31</v>
      </c>
      <c r="C6" s="3" t="s">
        <v>32</v>
      </c>
      <c r="D6" s="3" t="s">
        <v>33</v>
      </c>
      <c r="E6" s="4" t="s">
        <v>34</v>
      </c>
      <c r="F6" s="3" t="s">
        <v>16</v>
      </c>
      <c r="G6" s="5">
        <v>34234</v>
      </c>
      <c r="H6" s="6">
        <v>32</v>
      </c>
      <c r="I6" s="3">
        <v>7</v>
      </c>
      <c r="J6" s="4">
        <v>44558</v>
      </c>
      <c r="K6" s="7">
        <v>311906</v>
      </c>
      <c r="M6" s="9">
        <f>SUMIFS(K:K,B:B, "North")</f>
        <v>4440371</v>
      </c>
    </row>
    <row r="7" spans="1:15" x14ac:dyDescent="0.3">
      <c r="A7" s="3" t="s">
        <v>35</v>
      </c>
      <c r="B7" s="3" t="s">
        <v>31</v>
      </c>
      <c r="C7" s="3" t="s">
        <v>32</v>
      </c>
      <c r="D7" s="3" t="s">
        <v>33</v>
      </c>
      <c r="E7" s="4" t="s">
        <v>36</v>
      </c>
      <c r="F7" s="3" t="s">
        <v>25</v>
      </c>
      <c r="G7" s="5">
        <v>30498</v>
      </c>
      <c r="H7" s="6">
        <v>42</v>
      </c>
      <c r="I7" s="3">
        <v>4</v>
      </c>
      <c r="J7" s="4">
        <v>17954</v>
      </c>
      <c r="K7" s="7">
        <v>71816</v>
      </c>
      <c r="M7" s="9">
        <f>AVERAGEIFS(K:K,F:F, "Prepaid")</f>
        <v>159131.17647058822</v>
      </c>
    </row>
    <row r="8" spans="1:15" x14ac:dyDescent="0.3">
      <c r="A8" s="3" t="s">
        <v>37</v>
      </c>
      <c r="B8" s="3" t="s">
        <v>38</v>
      </c>
      <c r="C8" s="3" t="s">
        <v>39</v>
      </c>
      <c r="D8" s="3" t="s">
        <v>40</v>
      </c>
      <c r="E8" s="4" t="s">
        <v>41</v>
      </c>
      <c r="F8" s="3" t="s">
        <v>16</v>
      </c>
      <c r="G8" s="5">
        <v>35383</v>
      </c>
      <c r="H8" s="6">
        <v>29</v>
      </c>
      <c r="I8" s="3">
        <v>8</v>
      </c>
      <c r="J8" s="4">
        <v>5566</v>
      </c>
      <c r="K8" s="7">
        <v>44528</v>
      </c>
      <c r="M8" s="9">
        <f>SUMIFS(I:I,C:C, "Delhi")</f>
        <v>46</v>
      </c>
    </row>
    <row r="9" spans="1:15" x14ac:dyDescent="0.3">
      <c r="A9" s="3" t="s">
        <v>42</v>
      </c>
      <c r="B9" s="3" t="s">
        <v>38</v>
      </c>
      <c r="C9" s="3" t="s">
        <v>39</v>
      </c>
      <c r="D9" s="3" t="s">
        <v>40</v>
      </c>
      <c r="E9" s="4" t="s">
        <v>43</v>
      </c>
      <c r="F9" s="3" t="s">
        <v>25</v>
      </c>
      <c r="G9" s="5">
        <v>26449</v>
      </c>
      <c r="H9" s="6">
        <v>53</v>
      </c>
      <c r="I9" s="3">
        <v>8</v>
      </c>
      <c r="J9" s="4">
        <v>30841</v>
      </c>
      <c r="K9" s="7">
        <v>246728</v>
      </c>
      <c r="M9" s="11" t="str">
        <f>IF(AND(H14&gt;=18, H14&lt;=25), "Youth", IF(AND(H14&gt;=26, H14&lt;=45), "Adult", IF(AND(H14&gt;=46,H14&lt;=60), "Middle", IF(H14&gt;60, "Senior", "Unknown"))))</f>
        <v>Senior</v>
      </c>
    </row>
    <row r="10" spans="1:15" x14ac:dyDescent="0.3">
      <c r="A10" s="3" t="s">
        <v>44</v>
      </c>
      <c r="B10" s="3" t="s">
        <v>12</v>
      </c>
      <c r="C10" s="3" t="s">
        <v>13</v>
      </c>
      <c r="D10" s="3" t="s">
        <v>14</v>
      </c>
      <c r="E10" s="4" t="s">
        <v>45</v>
      </c>
      <c r="F10" s="3" t="s">
        <v>25</v>
      </c>
      <c r="G10" s="5">
        <v>31284</v>
      </c>
      <c r="H10" s="6">
        <v>40</v>
      </c>
      <c r="I10" s="3">
        <v>10</v>
      </c>
      <c r="J10" s="4">
        <v>7690</v>
      </c>
      <c r="K10" s="7">
        <v>76900</v>
      </c>
      <c r="M10" s="12" t="str">
        <f ca="1">DATEDIF(G14, TODAY(), "Y") &amp; " years, " &amp; DATEDIF(G14, TODAY(), "YM") &amp; " months, " &amp; DATEDIF(G14, TODAY(), "MD") &amp; " days"</f>
        <v>44 years, 2 months, 23 days</v>
      </c>
    </row>
    <row r="11" spans="1:15" x14ac:dyDescent="0.3">
      <c r="A11" s="3" t="s">
        <v>46</v>
      </c>
      <c r="B11" s="3" t="s">
        <v>31</v>
      </c>
      <c r="C11" s="3" t="s">
        <v>32</v>
      </c>
      <c r="D11" s="3" t="s">
        <v>33</v>
      </c>
      <c r="E11" s="4" t="s">
        <v>47</v>
      </c>
      <c r="F11" s="3" t="s">
        <v>25</v>
      </c>
      <c r="G11" s="5">
        <v>33181</v>
      </c>
      <c r="H11" s="6">
        <v>35</v>
      </c>
      <c r="I11" s="3">
        <v>9</v>
      </c>
      <c r="J11" s="4">
        <v>48104</v>
      </c>
      <c r="K11" s="7">
        <v>432936</v>
      </c>
    </row>
    <row r="12" spans="1:15" x14ac:dyDescent="0.3">
      <c r="A12" s="3" t="s">
        <v>48</v>
      </c>
      <c r="B12" s="3" t="s">
        <v>12</v>
      </c>
      <c r="C12" s="3" t="s">
        <v>18</v>
      </c>
      <c r="D12" s="3" t="s">
        <v>18</v>
      </c>
      <c r="E12" s="4" t="s">
        <v>49</v>
      </c>
      <c r="F12" s="3" t="s">
        <v>16</v>
      </c>
      <c r="G12" s="5">
        <v>28714</v>
      </c>
      <c r="H12" s="6">
        <v>47</v>
      </c>
      <c r="I12" s="3">
        <v>1</v>
      </c>
      <c r="J12" s="4">
        <v>43833</v>
      </c>
      <c r="K12" s="7">
        <v>43833</v>
      </c>
    </row>
    <row r="13" spans="1:15" ht="18" x14ac:dyDescent="0.35">
      <c r="A13" s="3" t="s">
        <v>50</v>
      </c>
      <c r="B13" s="3" t="s">
        <v>31</v>
      </c>
      <c r="C13" s="3" t="s">
        <v>32</v>
      </c>
      <c r="D13" s="3" t="s">
        <v>33</v>
      </c>
      <c r="E13" s="4" t="s">
        <v>51</v>
      </c>
      <c r="F13" s="3" t="s">
        <v>25</v>
      </c>
      <c r="G13" s="5">
        <v>35478</v>
      </c>
      <c r="H13" s="6">
        <v>28</v>
      </c>
      <c r="I13" s="3">
        <v>4</v>
      </c>
      <c r="J13" s="4">
        <v>37708</v>
      </c>
      <c r="K13" s="7">
        <v>150832</v>
      </c>
      <c r="M13" s="17" t="s">
        <v>234</v>
      </c>
    </row>
    <row r="14" spans="1:15" x14ac:dyDescent="0.3">
      <c r="A14" s="3" t="s">
        <v>52</v>
      </c>
      <c r="B14" s="3" t="s">
        <v>12</v>
      </c>
      <c r="C14" s="3" t="s">
        <v>13</v>
      </c>
      <c r="D14" s="3" t="s">
        <v>14</v>
      </c>
      <c r="E14" s="4" t="s">
        <v>53</v>
      </c>
      <c r="F14" s="3" t="s">
        <v>25</v>
      </c>
      <c r="G14" s="5">
        <v>29888</v>
      </c>
      <c r="H14" s="6">
        <v>65</v>
      </c>
      <c r="I14" s="3">
        <v>7</v>
      </c>
      <c r="J14" s="4">
        <v>38316</v>
      </c>
      <c r="K14" s="7">
        <v>268212</v>
      </c>
      <c r="M14" s="19"/>
      <c r="N14" s="19"/>
      <c r="O14" s="18"/>
    </row>
    <row r="15" spans="1:15" x14ac:dyDescent="0.3">
      <c r="A15" s="3" t="s">
        <v>54</v>
      </c>
      <c r="B15" s="3" t="s">
        <v>38</v>
      </c>
      <c r="C15" s="3" t="s">
        <v>55</v>
      </c>
      <c r="D15" s="3" t="s">
        <v>56</v>
      </c>
      <c r="E15" s="4" t="s">
        <v>57</v>
      </c>
      <c r="F15" s="3" t="s">
        <v>25</v>
      </c>
      <c r="G15" s="5">
        <v>34461</v>
      </c>
      <c r="H15" s="6">
        <v>31</v>
      </c>
      <c r="I15" s="3">
        <v>9</v>
      </c>
      <c r="J15" s="4">
        <v>38897</v>
      </c>
      <c r="K15" s="7">
        <v>350073</v>
      </c>
      <c r="M15" s="19"/>
      <c r="N15" s="19"/>
      <c r="O15" s="18"/>
    </row>
    <row r="16" spans="1:15" x14ac:dyDescent="0.3">
      <c r="A16" s="3" t="s">
        <v>58</v>
      </c>
      <c r="B16" s="3" t="s">
        <v>21</v>
      </c>
      <c r="C16" s="3" t="s">
        <v>27</v>
      </c>
      <c r="D16" s="3" t="s">
        <v>28</v>
      </c>
      <c r="E16" s="3" t="s">
        <v>59</v>
      </c>
      <c r="F16" s="3" t="s">
        <v>25</v>
      </c>
      <c r="G16" s="5">
        <v>27780</v>
      </c>
      <c r="H16" s="6">
        <v>49</v>
      </c>
      <c r="I16" s="3">
        <v>3</v>
      </c>
      <c r="J16" s="4">
        <v>47687</v>
      </c>
      <c r="K16" s="7">
        <v>143061</v>
      </c>
      <c r="M16" s="19"/>
      <c r="N16" s="19"/>
      <c r="O16" s="18"/>
    </row>
    <row r="17" spans="1:15" x14ac:dyDescent="0.3">
      <c r="A17" s="3" t="s">
        <v>60</v>
      </c>
      <c r="B17" s="3" t="s">
        <v>38</v>
      </c>
      <c r="C17" s="3" t="s">
        <v>39</v>
      </c>
      <c r="D17" s="3" t="s">
        <v>40</v>
      </c>
      <c r="E17" s="3" t="s">
        <v>61</v>
      </c>
      <c r="F17" s="3" t="s">
        <v>25</v>
      </c>
      <c r="G17" s="5">
        <v>36406</v>
      </c>
      <c r="H17" s="6">
        <v>26</v>
      </c>
      <c r="I17" s="3">
        <v>4</v>
      </c>
      <c r="J17" s="4">
        <v>15700</v>
      </c>
      <c r="K17" s="7">
        <v>62800</v>
      </c>
      <c r="M17" s="19"/>
      <c r="N17" s="19"/>
      <c r="O17" s="18"/>
    </row>
    <row r="18" spans="1:15" x14ac:dyDescent="0.3">
      <c r="A18" s="3" t="s">
        <v>62</v>
      </c>
      <c r="B18" s="3" t="s">
        <v>21</v>
      </c>
      <c r="C18" s="3" t="s">
        <v>63</v>
      </c>
      <c r="D18" s="3" t="s">
        <v>28</v>
      </c>
      <c r="E18" s="3" t="s">
        <v>64</v>
      </c>
      <c r="F18" s="3" t="s">
        <v>25</v>
      </c>
      <c r="G18" s="5">
        <v>32828</v>
      </c>
      <c r="H18" s="6">
        <v>36</v>
      </c>
      <c r="I18" s="3">
        <v>9</v>
      </c>
      <c r="J18" s="4">
        <v>27414</v>
      </c>
      <c r="K18" s="7">
        <v>246726</v>
      </c>
      <c r="M18" s="19"/>
      <c r="N18" s="19"/>
      <c r="O18" s="18"/>
    </row>
    <row r="19" spans="1:15" x14ac:dyDescent="0.3">
      <c r="A19" s="3" t="s">
        <v>65</v>
      </c>
      <c r="B19" s="3" t="s">
        <v>31</v>
      </c>
      <c r="C19" s="3" t="s">
        <v>32</v>
      </c>
      <c r="D19" s="3" t="s">
        <v>33</v>
      </c>
      <c r="E19" s="3" t="s">
        <v>66</v>
      </c>
      <c r="F19" s="3" t="s">
        <v>25</v>
      </c>
      <c r="G19" s="5">
        <v>27204</v>
      </c>
      <c r="H19" s="6">
        <v>51</v>
      </c>
      <c r="I19" s="3">
        <v>7</v>
      </c>
      <c r="J19" s="3">
        <v>23102</v>
      </c>
      <c r="K19" s="7">
        <v>161714</v>
      </c>
      <c r="M19" s="19"/>
      <c r="N19" s="19"/>
      <c r="O19" s="18"/>
    </row>
    <row r="20" spans="1:15" x14ac:dyDescent="0.3">
      <c r="A20" s="3" t="s">
        <v>67</v>
      </c>
      <c r="B20" s="3" t="s">
        <v>21</v>
      </c>
      <c r="C20" s="3" t="s">
        <v>63</v>
      </c>
      <c r="D20" s="3" t="s">
        <v>28</v>
      </c>
      <c r="E20" s="3" t="s">
        <v>68</v>
      </c>
      <c r="F20" s="3" t="s">
        <v>25</v>
      </c>
      <c r="G20" s="5">
        <v>33947</v>
      </c>
      <c r="H20" s="6">
        <v>33</v>
      </c>
      <c r="I20" s="3">
        <v>5</v>
      </c>
      <c r="J20" s="3">
        <v>31164</v>
      </c>
      <c r="K20" s="7">
        <v>155820</v>
      </c>
      <c r="M20" s="19"/>
      <c r="N20" s="19"/>
      <c r="O20" s="18"/>
    </row>
    <row r="21" spans="1:15" x14ac:dyDescent="0.3">
      <c r="A21" s="3" t="s">
        <v>69</v>
      </c>
      <c r="B21" s="3" t="s">
        <v>21</v>
      </c>
      <c r="C21" s="3" t="s">
        <v>27</v>
      </c>
      <c r="D21" s="3" t="s">
        <v>28</v>
      </c>
      <c r="E21" s="3" t="s">
        <v>70</v>
      </c>
      <c r="F21" s="3" t="s">
        <v>16</v>
      </c>
      <c r="G21" s="5">
        <v>29224</v>
      </c>
      <c r="H21" s="6">
        <v>46</v>
      </c>
      <c r="I21" s="3">
        <v>2</v>
      </c>
      <c r="J21" s="3">
        <v>35936</v>
      </c>
      <c r="K21" s="7">
        <v>71872</v>
      </c>
      <c r="M21" s="19"/>
      <c r="N21" s="19"/>
      <c r="O21" s="18"/>
    </row>
    <row r="22" spans="1:15" x14ac:dyDescent="0.3">
      <c r="A22" s="3" t="s">
        <v>71</v>
      </c>
      <c r="B22" s="3" t="s">
        <v>38</v>
      </c>
      <c r="C22" s="3" t="s">
        <v>39</v>
      </c>
      <c r="D22" s="3" t="s">
        <v>40</v>
      </c>
      <c r="E22" s="3" t="s">
        <v>72</v>
      </c>
      <c r="F22" s="3" t="s">
        <v>16</v>
      </c>
      <c r="G22" s="5">
        <v>36025</v>
      </c>
      <c r="H22" s="6">
        <v>27</v>
      </c>
      <c r="I22" s="3">
        <v>6</v>
      </c>
      <c r="J22" s="3">
        <v>28942</v>
      </c>
      <c r="K22" s="7">
        <v>173652</v>
      </c>
      <c r="M22" s="19"/>
      <c r="N22" s="19"/>
      <c r="O22" s="18"/>
    </row>
    <row r="23" spans="1:15" x14ac:dyDescent="0.3">
      <c r="A23" s="3" t="s">
        <v>73</v>
      </c>
      <c r="B23" s="3" t="s">
        <v>12</v>
      </c>
      <c r="C23" s="3" t="s">
        <v>74</v>
      </c>
      <c r="D23" s="3" t="s">
        <v>75</v>
      </c>
      <c r="E23" s="3" t="s">
        <v>76</v>
      </c>
      <c r="F23" s="3" t="s">
        <v>25</v>
      </c>
      <c r="G23" s="5">
        <v>31773</v>
      </c>
      <c r="H23" s="6">
        <v>39</v>
      </c>
      <c r="I23" s="3">
        <v>8</v>
      </c>
      <c r="J23" s="3">
        <v>29603</v>
      </c>
      <c r="K23" s="7">
        <v>236824</v>
      </c>
      <c r="M23" s="19"/>
      <c r="N23" s="19"/>
      <c r="O23" s="18"/>
    </row>
    <row r="24" spans="1:15" x14ac:dyDescent="0.3">
      <c r="A24" s="3" t="s">
        <v>77</v>
      </c>
      <c r="B24" s="3" t="s">
        <v>12</v>
      </c>
      <c r="C24" s="3" t="s">
        <v>13</v>
      </c>
      <c r="D24" s="3" t="s">
        <v>14</v>
      </c>
      <c r="E24" s="3" t="s">
        <v>78</v>
      </c>
      <c r="F24" s="3" t="s">
        <v>16</v>
      </c>
      <c r="G24" s="5">
        <v>26797</v>
      </c>
      <c r="H24" s="6">
        <v>52</v>
      </c>
      <c r="I24" s="3">
        <v>7</v>
      </c>
      <c r="J24" s="3">
        <v>9473</v>
      </c>
      <c r="K24" s="7">
        <v>66311</v>
      </c>
      <c r="M24" s="19"/>
      <c r="N24" s="19"/>
      <c r="O24" s="18"/>
    </row>
    <row r="25" spans="1:15" x14ac:dyDescent="0.3">
      <c r="A25" s="3" t="s">
        <v>79</v>
      </c>
      <c r="B25" s="3" t="s">
        <v>38</v>
      </c>
      <c r="C25" s="3" t="s">
        <v>55</v>
      </c>
      <c r="D25" s="3" t="s">
        <v>56</v>
      </c>
      <c r="E25" s="3" t="s">
        <v>80</v>
      </c>
      <c r="F25" s="3" t="s">
        <v>25</v>
      </c>
      <c r="G25" s="5">
        <v>33391</v>
      </c>
      <c r="H25" s="6">
        <v>34</v>
      </c>
      <c r="I25" s="3">
        <v>2</v>
      </c>
      <c r="J25" s="3">
        <v>42458</v>
      </c>
      <c r="K25" s="7">
        <v>84916</v>
      </c>
      <c r="M25" s="19"/>
      <c r="N25" s="19"/>
      <c r="O25" s="18"/>
    </row>
    <row r="26" spans="1:15" x14ac:dyDescent="0.3">
      <c r="A26" s="3" t="s">
        <v>81</v>
      </c>
      <c r="B26" s="3" t="s">
        <v>21</v>
      </c>
      <c r="C26" s="3" t="s">
        <v>63</v>
      </c>
      <c r="D26" s="3" t="s">
        <v>28</v>
      </c>
      <c r="E26" s="3" t="s">
        <v>82</v>
      </c>
      <c r="F26" s="3" t="s">
        <v>25</v>
      </c>
      <c r="G26" s="5">
        <v>30894</v>
      </c>
      <c r="H26" s="6">
        <v>41</v>
      </c>
      <c r="I26" s="3">
        <v>1</v>
      </c>
      <c r="J26" s="3">
        <v>36181</v>
      </c>
      <c r="K26" s="7">
        <v>36181</v>
      </c>
      <c r="M26" s="19"/>
      <c r="N26" s="19"/>
      <c r="O26" s="18"/>
    </row>
    <row r="27" spans="1:15" x14ac:dyDescent="0.3">
      <c r="A27" s="3" t="s">
        <v>83</v>
      </c>
      <c r="B27" s="3" t="s">
        <v>38</v>
      </c>
      <c r="C27" s="3" t="s">
        <v>39</v>
      </c>
      <c r="D27" s="3" t="s">
        <v>40</v>
      </c>
      <c r="E27" s="3" t="s">
        <v>84</v>
      </c>
      <c r="F27" s="3" t="s">
        <v>16</v>
      </c>
      <c r="G27" s="5">
        <v>37904</v>
      </c>
      <c r="H27" s="6">
        <v>22</v>
      </c>
      <c r="I27" s="3">
        <v>5</v>
      </c>
      <c r="J27" s="3">
        <v>28723</v>
      </c>
      <c r="K27" s="7">
        <v>143615</v>
      </c>
      <c r="M27" s="19"/>
      <c r="N27" s="19"/>
      <c r="O27" s="18"/>
    </row>
    <row r="28" spans="1:15" x14ac:dyDescent="0.3">
      <c r="A28" s="3" t="s">
        <v>85</v>
      </c>
      <c r="B28" s="3" t="s">
        <v>21</v>
      </c>
      <c r="C28" s="3" t="s">
        <v>63</v>
      </c>
      <c r="D28" s="3" t="s">
        <v>28</v>
      </c>
      <c r="E28" s="3" t="s">
        <v>86</v>
      </c>
      <c r="F28" s="3" t="s">
        <v>16</v>
      </c>
      <c r="G28" s="5">
        <v>21632</v>
      </c>
      <c r="H28" s="6">
        <v>66</v>
      </c>
      <c r="I28" s="3">
        <v>1</v>
      </c>
      <c r="J28" s="3">
        <v>38547</v>
      </c>
      <c r="K28" s="7">
        <v>38547</v>
      </c>
      <c r="M28" s="19"/>
      <c r="N28" s="19"/>
      <c r="O28" s="18"/>
    </row>
    <row r="29" spans="1:15" x14ac:dyDescent="0.3">
      <c r="A29" s="3" t="s">
        <v>87</v>
      </c>
      <c r="B29" s="3" t="s">
        <v>31</v>
      </c>
      <c r="C29" s="3" t="s">
        <v>32</v>
      </c>
      <c r="D29" s="3" t="s">
        <v>33</v>
      </c>
      <c r="E29" s="3" t="s">
        <v>88</v>
      </c>
      <c r="F29" s="3" t="s">
        <v>25</v>
      </c>
      <c r="G29" s="5">
        <v>32034</v>
      </c>
      <c r="H29" s="6">
        <v>38</v>
      </c>
      <c r="I29" s="3">
        <v>6</v>
      </c>
      <c r="J29" s="3">
        <v>48935</v>
      </c>
      <c r="K29" s="7">
        <v>293610</v>
      </c>
      <c r="M29" s="19"/>
      <c r="N29" s="19"/>
      <c r="O29" s="18"/>
    </row>
    <row r="30" spans="1:15" x14ac:dyDescent="0.3">
      <c r="A30" s="3" t="s">
        <v>89</v>
      </c>
      <c r="B30" s="3" t="s">
        <v>12</v>
      </c>
      <c r="C30" s="3" t="s">
        <v>18</v>
      </c>
      <c r="D30" s="3" t="s">
        <v>18</v>
      </c>
      <c r="E30" s="3" t="s">
        <v>90</v>
      </c>
      <c r="F30" s="3" t="s">
        <v>16</v>
      </c>
      <c r="G30" s="5">
        <v>28157</v>
      </c>
      <c r="H30" s="6">
        <v>48</v>
      </c>
      <c r="I30" s="3">
        <v>3</v>
      </c>
      <c r="J30" s="3">
        <v>40334</v>
      </c>
      <c r="K30" s="7">
        <v>121002</v>
      </c>
      <c r="M30" s="19"/>
      <c r="N30" s="19"/>
      <c r="O30" s="18"/>
    </row>
    <row r="31" spans="1:15" x14ac:dyDescent="0.3">
      <c r="A31" s="3" t="s">
        <v>91</v>
      </c>
      <c r="B31" s="3" t="s">
        <v>12</v>
      </c>
      <c r="C31" s="3" t="s">
        <v>13</v>
      </c>
      <c r="D31" s="3" t="s">
        <v>14</v>
      </c>
      <c r="E31" s="3" t="s">
        <v>92</v>
      </c>
      <c r="F31" s="3" t="s">
        <v>16</v>
      </c>
      <c r="G31" s="5">
        <v>35023</v>
      </c>
      <c r="H31" s="6">
        <v>30</v>
      </c>
      <c r="I31" s="3">
        <v>10</v>
      </c>
      <c r="J31" s="3">
        <v>14527</v>
      </c>
      <c r="K31" s="7">
        <v>145270</v>
      </c>
      <c r="M31" s="19"/>
      <c r="N31" s="19"/>
      <c r="O31" s="18"/>
    </row>
    <row r="32" spans="1:15" x14ac:dyDescent="0.3">
      <c r="A32" s="3" t="s">
        <v>93</v>
      </c>
      <c r="B32" s="3" t="s">
        <v>21</v>
      </c>
      <c r="C32" s="3" t="s">
        <v>22</v>
      </c>
      <c r="D32" s="3" t="s">
        <v>23</v>
      </c>
      <c r="E32" s="3" t="s">
        <v>94</v>
      </c>
      <c r="F32" s="3" t="s">
        <v>16</v>
      </c>
      <c r="G32" s="5">
        <v>30067</v>
      </c>
      <c r="H32" s="6">
        <v>43</v>
      </c>
      <c r="I32" s="3">
        <v>4</v>
      </c>
      <c r="J32" s="3">
        <v>8195</v>
      </c>
      <c r="K32" s="7">
        <v>32780</v>
      </c>
      <c r="M32" s="19"/>
      <c r="N32" s="19"/>
      <c r="O32" s="18"/>
    </row>
    <row r="33" spans="1:15" x14ac:dyDescent="0.3">
      <c r="A33" s="3" t="s">
        <v>95</v>
      </c>
      <c r="B33" s="3" t="s">
        <v>31</v>
      </c>
      <c r="C33" s="3" t="s">
        <v>32</v>
      </c>
      <c r="D33" s="3" t="s">
        <v>33</v>
      </c>
      <c r="E33" s="3" t="s">
        <v>96</v>
      </c>
      <c r="F33" s="3" t="s">
        <v>16</v>
      </c>
      <c r="G33" s="5">
        <v>34187</v>
      </c>
      <c r="H33" s="6">
        <v>32</v>
      </c>
      <c r="I33" s="3">
        <v>3</v>
      </c>
      <c r="J33" s="3">
        <v>17365</v>
      </c>
      <c r="K33" s="7">
        <v>52095</v>
      </c>
      <c r="M33" s="19"/>
      <c r="N33" s="19"/>
      <c r="O33" s="18"/>
    </row>
    <row r="34" spans="1:15" x14ac:dyDescent="0.3">
      <c r="A34" s="3" t="s">
        <v>97</v>
      </c>
      <c r="B34" s="3" t="s">
        <v>21</v>
      </c>
      <c r="C34" s="3" t="s">
        <v>27</v>
      </c>
      <c r="D34" s="3" t="s">
        <v>28</v>
      </c>
      <c r="E34" s="3" t="s">
        <v>98</v>
      </c>
      <c r="F34" s="3" t="s">
        <v>16</v>
      </c>
      <c r="G34" s="5">
        <v>25554</v>
      </c>
      <c r="H34" s="6">
        <v>56</v>
      </c>
      <c r="I34" s="3">
        <v>7</v>
      </c>
      <c r="J34" s="3">
        <v>32619</v>
      </c>
      <c r="K34" s="7">
        <v>228333</v>
      </c>
      <c r="M34" s="19"/>
      <c r="N34" s="19"/>
      <c r="O34" s="18"/>
    </row>
    <row r="35" spans="1:15" x14ac:dyDescent="0.3">
      <c r="A35" s="3" t="s">
        <v>99</v>
      </c>
      <c r="B35" s="3" t="s">
        <v>38</v>
      </c>
      <c r="C35" s="3" t="s">
        <v>100</v>
      </c>
      <c r="D35" s="3" t="s">
        <v>101</v>
      </c>
      <c r="E35" s="3" t="s">
        <v>102</v>
      </c>
      <c r="F35" s="3" t="s">
        <v>16</v>
      </c>
      <c r="G35" s="5">
        <v>36624</v>
      </c>
      <c r="H35" s="6">
        <v>25</v>
      </c>
      <c r="I35" s="3">
        <v>2</v>
      </c>
      <c r="J35" s="3">
        <v>27728</v>
      </c>
      <c r="K35" s="7">
        <v>55456</v>
      </c>
      <c r="M35" s="19"/>
      <c r="N35" s="19"/>
      <c r="O35" s="18"/>
    </row>
    <row r="36" spans="1:15" x14ac:dyDescent="0.3">
      <c r="A36" s="3" t="s">
        <v>103</v>
      </c>
      <c r="B36" s="3" t="s">
        <v>12</v>
      </c>
      <c r="C36" s="3" t="s">
        <v>18</v>
      </c>
      <c r="D36" s="3" t="s">
        <v>18</v>
      </c>
      <c r="E36" s="3" t="s">
        <v>104</v>
      </c>
      <c r="F36" s="3" t="s">
        <v>25</v>
      </c>
      <c r="G36" s="5">
        <v>25962</v>
      </c>
      <c r="H36" s="6">
        <v>54</v>
      </c>
      <c r="I36" s="3">
        <v>5</v>
      </c>
      <c r="J36" s="3">
        <v>16451</v>
      </c>
      <c r="K36" s="7">
        <v>82255</v>
      </c>
      <c r="M36" s="19"/>
      <c r="N36" s="19"/>
      <c r="O36" s="18"/>
    </row>
    <row r="37" spans="1:15" x14ac:dyDescent="0.3">
      <c r="A37" s="3" t="s">
        <v>105</v>
      </c>
      <c r="B37" s="3" t="s">
        <v>12</v>
      </c>
      <c r="C37" s="3" t="s">
        <v>13</v>
      </c>
      <c r="D37" s="3" t="s">
        <v>14</v>
      </c>
      <c r="E37" s="3" t="s">
        <v>106</v>
      </c>
      <c r="F37" s="3" t="s">
        <v>16</v>
      </c>
      <c r="G37" s="5">
        <v>35718</v>
      </c>
      <c r="H37" s="6">
        <v>28</v>
      </c>
      <c r="I37" s="3">
        <v>6</v>
      </c>
      <c r="J37" s="3">
        <v>24096</v>
      </c>
      <c r="K37" s="7">
        <v>144576</v>
      </c>
      <c r="M37" s="19"/>
      <c r="N37" s="19"/>
      <c r="O37" s="18"/>
    </row>
    <row r="38" spans="1:15" x14ac:dyDescent="0.3">
      <c r="A38" s="3" t="s">
        <v>107</v>
      </c>
      <c r="B38" s="3" t="s">
        <v>38</v>
      </c>
      <c r="C38" s="3" t="s">
        <v>100</v>
      </c>
      <c r="D38" s="3" t="s">
        <v>101</v>
      </c>
      <c r="E38" s="3" t="s">
        <v>108</v>
      </c>
      <c r="F38" s="3" t="s">
        <v>25</v>
      </c>
      <c r="G38" s="5">
        <v>32650</v>
      </c>
      <c r="H38" s="6">
        <v>36</v>
      </c>
      <c r="I38" s="3">
        <v>7</v>
      </c>
      <c r="J38" s="3">
        <v>8090</v>
      </c>
      <c r="K38" s="7">
        <v>56630</v>
      </c>
      <c r="M38" s="19"/>
      <c r="N38" s="19"/>
      <c r="O38" s="18"/>
    </row>
    <row r="39" spans="1:15" x14ac:dyDescent="0.3">
      <c r="A39" s="3" t="s">
        <v>109</v>
      </c>
      <c r="B39" s="3" t="s">
        <v>12</v>
      </c>
      <c r="C39" s="3" t="s">
        <v>13</v>
      </c>
      <c r="D39" s="3" t="s">
        <v>14</v>
      </c>
      <c r="E39" s="3" t="s">
        <v>110</v>
      </c>
      <c r="F39" s="3" t="s">
        <v>25</v>
      </c>
      <c r="G39" s="5">
        <v>24049</v>
      </c>
      <c r="H39" s="6">
        <v>60</v>
      </c>
      <c r="I39" s="3">
        <v>7</v>
      </c>
      <c r="J39" s="3">
        <v>34972</v>
      </c>
      <c r="K39" s="7">
        <v>244804</v>
      </c>
      <c r="M39" s="19"/>
      <c r="N39" s="19"/>
      <c r="O39" s="18"/>
    </row>
    <row r="40" spans="1:15" x14ac:dyDescent="0.3">
      <c r="A40" s="3" t="s">
        <v>111</v>
      </c>
      <c r="B40" s="3" t="s">
        <v>31</v>
      </c>
      <c r="C40" s="3" t="s">
        <v>32</v>
      </c>
      <c r="D40" s="3" t="s">
        <v>33</v>
      </c>
      <c r="E40" s="3" t="s">
        <v>112</v>
      </c>
      <c r="F40" s="3" t="s">
        <v>25</v>
      </c>
      <c r="G40" s="5">
        <v>34607</v>
      </c>
      <c r="H40" s="6">
        <v>31</v>
      </c>
      <c r="I40" s="3">
        <v>6</v>
      </c>
      <c r="J40" s="3">
        <v>10303</v>
      </c>
      <c r="K40" s="7">
        <v>61818</v>
      </c>
      <c r="M40" s="19"/>
      <c r="N40" s="19"/>
      <c r="O40" s="18"/>
    </row>
    <row r="41" spans="1:15" x14ac:dyDescent="0.3">
      <c r="A41" s="3" t="s">
        <v>113</v>
      </c>
      <c r="B41" s="3" t="s">
        <v>21</v>
      </c>
      <c r="C41" s="3" t="s">
        <v>27</v>
      </c>
      <c r="D41" s="3" t="s">
        <v>28</v>
      </c>
      <c r="E41" s="3" t="s">
        <v>114</v>
      </c>
      <c r="F41" s="3" t="s">
        <v>25</v>
      </c>
      <c r="G41" s="5">
        <v>29047</v>
      </c>
      <c r="H41" s="6">
        <v>46</v>
      </c>
      <c r="I41" s="3">
        <v>8</v>
      </c>
      <c r="J41" s="3">
        <v>15894</v>
      </c>
      <c r="K41" s="7">
        <v>127152</v>
      </c>
      <c r="M41" s="19"/>
      <c r="N41" s="19"/>
      <c r="O41" s="18"/>
    </row>
    <row r="42" spans="1:15" x14ac:dyDescent="0.3">
      <c r="A42" s="3" t="s">
        <v>115</v>
      </c>
      <c r="B42" s="3" t="s">
        <v>38</v>
      </c>
      <c r="C42" s="3" t="s">
        <v>100</v>
      </c>
      <c r="D42" s="3" t="s">
        <v>101</v>
      </c>
      <c r="E42" s="3" t="s">
        <v>116</v>
      </c>
      <c r="F42" s="3" t="s">
        <v>25</v>
      </c>
      <c r="G42" s="5">
        <v>35114</v>
      </c>
      <c r="H42" s="6">
        <v>29</v>
      </c>
      <c r="I42" s="3">
        <v>2</v>
      </c>
      <c r="J42" s="3">
        <v>16611</v>
      </c>
      <c r="K42" s="7">
        <v>33222</v>
      </c>
      <c r="M42" s="19"/>
      <c r="N42" s="19"/>
      <c r="O42" s="18"/>
    </row>
    <row r="43" spans="1:15" x14ac:dyDescent="0.3">
      <c r="A43" s="3" t="s">
        <v>117</v>
      </c>
      <c r="B43" s="3" t="s">
        <v>31</v>
      </c>
      <c r="C43" s="3" t="s">
        <v>32</v>
      </c>
      <c r="D43" s="3" t="s">
        <v>33</v>
      </c>
      <c r="E43" s="3" t="s">
        <v>118</v>
      </c>
      <c r="F43" s="3" t="s">
        <v>16</v>
      </c>
      <c r="G43" s="5">
        <v>29427</v>
      </c>
      <c r="H43" s="6">
        <v>45</v>
      </c>
      <c r="I43" s="3">
        <v>2</v>
      </c>
      <c r="J43" s="3">
        <v>46007</v>
      </c>
      <c r="K43" s="7">
        <v>92014</v>
      </c>
      <c r="M43" s="19"/>
      <c r="N43" s="19"/>
    </row>
    <row r="44" spans="1:15" x14ac:dyDescent="0.3">
      <c r="A44" s="3" t="s">
        <v>119</v>
      </c>
      <c r="B44" s="3" t="s">
        <v>12</v>
      </c>
      <c r="C44" s="3" t="s">
        <v>74</v>
      </c>
      <c r="D44" s="3" t="s">
        <v>75</v>
      </c>
      <c r="E44" s="3" t="s">
        <v>120</v>
      </c>
      <c r="F44" s="3" t="s">
        <v>16</v>
      </c>
      <c r="G44" s="5">
        <v>33667</v>
      </c>
      <c r="H44" s="6">
        <v>33</v>
      </c>
      <c r="I44" s="3">
        <v>8</v>
      </c>
      <c r="J44" s="3">
        <v>3397</v>
      </c>
      <c r="K44" s="7">
        <v>27176</v>
      </c>
      <c r="M44" s="19"/>
      <c r="N44" s="19"/>
    </row>
    <row r="45" spans="1:15" x14ac:dyDescent="0.3">
      <c r="A45" s="3" t="s">
        <v>121</v>
      </c>
      <c r="B45" s="3" t="s">
        <v>38</v>
      </c>
      <c r="C45" s="3" t="s">
        <v>55</v>
      </c>
      <c r="D45" s="3" t="s">
        <v>56</v>
      </c>
      <c r="E45" s="3" t="s">
        <v>122</v>
      </c>
      <c r="F45" s="3" t="s">
        <v>25</v>
      </c>
      <c r="G45" s="5">
        <v>25188</v>
      </c>
      <c r="H45" s="6">
        <v>57</v>
      </c>
      <c r="I45" s="3">
        <v>6</v>
      </c>
      <c r="J45" s="3">
        <v>7366</v>
      </c>
      <c r="K45" s="7">
        <v>44196</v>
      </c>
      <c r="M45" s="19"/>
      <c r="N45" s="19"/>
    </row>
    <row r="46" spans="1:15" x14ac:dyDescent="0.3">
      <c r="A46" s="3" t="s">
        <v>123</v>
      </c>
      <c r="B46" s="3" t="s">
        <v>21</v>
      </c>
      <c r="C46" s="3" t="s">
        <v>22</v>
      </c>
      <c r="D46" s="3" t="s">
        <v>23</v>
      </c>
      <c r="E46" s="3" t="s">
        <v>124</v>
      </c>
      <c r="F46" s="3" t="s">
        <v>25</v>
      </c>
      <c r="G46" s="5">
        <v>37435</v>
      </c>
      <c r="H46" s="6">
        <v>23</v>
      </c>
      <c r="I46" s="3">
        <v>9</v>
      </c>
      <c r="J46" s="3">
        <v>26294</v>
      </c>
      <c r="K46" s="7">
        <v>236646</v>
      </c>
      <c r="M46" s="19"/>
      <c r="N46" s="19"/>
    </row>
    <row r="47" spans="1:15" x14ac:dyDescent="0.3">
      <c r="A47" s="3" t="s">
        <v>125</v>
      </c>
      <c r="B47" s="3" t="s">
        <v>21</v>
      </c>
      <c r="C47" s="3" t="s">
        <v>22</v>
      </c>
      <c r="D47" s="3" t="s">
        <v>23</v>
      </c>
      <c r="E47" s="3" t="s">
        <v>126</v>
      </c>
      <c r="F47" s="3" t="s">
        <v>16</v>
      </c>
      <c r="G47" s="5">
        <v>27273</v>
      </c>
      <c r="H47" s="6">
        <v>51</v>
      </c>
      <c r="I47" s="3">
        <v>8</v>
      </c>
      <c r="J47" s="3">
        <v>10563</v>
      </c>
      <c r="K47" s="7">
        <v>84504</v>
      </c>
      <c r="M47" s="19"/>
      <c r="N47" s="19"/>
    </row>
    <row r="48" spans="1:15" x14ac:dyDescent="0.3">
      <c r="A48" s="3" t="s">
        <v>127</v>
      </c>
      <c r="B48" s="3" t="s">
        <v>21</v>
      </c>
      <c r="C48" s="3" t="s">
        <v>27</v>
      </c>
      <c r="D48" s="3" t="s">
        <v>28</v>
      </c>
      <c r="E48" s="3" t="s">
        <v>128</v>
      </c>
      <c r="F48" s="3" t="s">
        <v>16</v>
      </c>
      <c r="G48" s="5">
        <v>33471</v>
      </c>
      <c r="H48" s="6">
        <v>34</v>
      </c>
      <c r="I48" s="3">
        <v>7</v>
      </c>
      <c r="J48" s="3">
        <v>14543</v>
      </c>
      <c r="K48" s="7">
        <v>101801</v>
      </c>
      <c r="M48" s="19"/>
      <c r="N48" s="19"/>
    </row>
    <row r="49" spans="1:14" x14ac:dyDescent="0.3">
      <c r="A49" s="3" t="s">
        <v>129</v>
      </c>
      <c r="B49" s="3" t="s">
        <v>31</v>
      </c>
      <c r="C49" s="3" t="s">
        <v>32</v>
      </c>
      <c r="D49" s="3" t="s">
        <v>33</v>
      </c>
      <c r="E49" s="3" t="s">
        <v>130</v>
      </c>
      <c r="F49" s="3" t="s">
        <v>25</v>
      </c>
      <c r="G49" s="5">
        <v>31386</v>
      </c>
      <c r="H49" s="6">
        <v>40</v>
      </c>
      <c r="I49" s="3">
        <v>8</v>
      </c>
      <c r="J49" s="3">
        <v>7492</v>
      </c>
      <c r="K49" s="7">
        <v>59936</v>
      </c>
      <c r="M49" s="19"/>
      <c r="N49" s="19"/>
    </row>
    <row r="50" spans="1:14" x14ac:dyDescent="0.3">
      <c r="A50" s="3" t="s">
        <v>131</v>
      </c>
      <c r="B50" s="3" t="s">
        <v>21</v>
      </c>
      <c r="C50" s="3" t="s">
        <v>63</v>
      </c>
      <c r="D50" s="3" t="s">
        <v>28</v>
      </c>
      <c r="E50" s="3" t="s">
        <v>132</v>
      </c>
      <c r="F50" s="3" t="s">
        <v>25</v>
      </c>
      <c r="G50" s="5">
        <v>28064</v>
      </c>
      <c r="H50" s="6">
        <v>49</v>
      </c>
      <c r="I50" s="3">
        <v>9</v>
      </c>
      <c r="J50" s="3">
        <v>45266</v>
      </c>
      <c r="K50" s="7">
        <v>407394</v>
      </c>
    </row>
    <row r="51" spans="1:14" x14ac:dyDescent="0.3">
      <c r="A51" s="3" t="s">
        <v>133</v>
      </c>
      <c r="B51" s="3" t="s">
        <v>12</v>
      </c>
      <c r="C51" s="3" t="s">
        <v>13</v>
      </c>
      <c r="D51" s="3" t="s">
        <v>14</v>
      </c>
      <c r="E51" s="3" t="s">
        <v>134</v>
      </c>
      <c r="F51" s="3" t="s">
        <v>16</v>
      </c>
      <c r="G51" s="5">
        <v>21999</v>
      </c>
      <c r="H51" s="6">
        <v>65</v>
      </c>
      <c r="I51" s="3">
        <v>2</v>
      </c>
      <c r="J51" s="3">
        <v>12601</v>
      </c>
      <c r="K51" s="7">
        <v>25202</v>
      </c>
    </row>
    <row r="52" spans="1:14" x14ac:dyDescent="0.3">
      <c r="A52" s="3" t="s">
        <v>135</v>
      </c>
      <c r="B52" s="3" t="s">
        <v>38</v>
      </c>
      <c r="C52" s="3" t="s">
        <v>100</v>
      </c>
      <c r="D52" s="3" t="s">
        <v>101</v>
      </c>
      <c r="E52" s="3" t="s">
        <v>136</v>
      </c>
      <c r="F52" s="3" t="s">
        <v>25</v>
      </c>
      <c r="G52" s="5">
        <v>31284</v>
      </c>
      <c r="H52" s="6">
        <v>40</v>
      </c>
      <c r="I52" s="3">
        <v>1</v>
      </c>
      <c r="J52" s="3">
        <v>23413</v>
      </c>
      <c r="K52" s="7">
        <v>23413</v>
      </c>
    </row>
    <row r="53" spans="1:14" x14ac:dyDescent="0.3">
      <c r="A53" s="3" t="s">
        <v>137</v>
      </c>
      <c r="B53" s="3" t="s">
        <v>12</v>
      </c>
      <c r="C53" s="3" t="s">
        <v>74</v>
      </c>
      <c r="D53" s="3" t="s">
        <v>75</v>
      </c>
      <c r="E53" s="3" t="s">
        <v>138</v>
      </c>
      <c r="F53" s="3" t="s">
        <v>16</v>
      </c>
      <c r="G53" s="5">
        <v>33181</v>
      </c>
      <c r="H53" s="6">
        <v>35</v>
      </c>
      <c r="I53" s="3">
        <v>9</v>
      </c>
      <c r="J53" s="3">
        <v>43286</v>
      </c>
      <c r="K53" s="7">
        <v>389574</v>
      </c>
    </row>
    <row r="54" spans="1:14" x14ac:dyDescent="0.3">
      <c r="A54" s="3" t="s">
        <v>139</v>
      </c>
      <c r="B54" s="3" t="s">
        <v>31</v>
      </c>
      <c r="C54" s="3" t="s">
        <v>32</v>
      </c>
      <c r="D54" s="3" t="s">
        <v>33</v>
      </c>
      <c r="E54" s="3" t="s">
        <v>140</v>
      </c>
      <c r="F54" s="3" t="s">
        <v>25</v>
      </c>
      <c r="G54" s="5">
        <v>28714</v>
      </c>
      <c r="H54" s="6">
        <v>47</v>
      </c>
      <c r="I54" s="3">
        <v>2</v>
      </c>
      <c r="J54" s="3">
        <v>3382</v>
      </c>
      <c r="K54" s="7">
        <v>6764</v>
      </c>
    </row>
    <row r="55" spans="1:14" x14ac:dyDescent="0.3">
      <c r="A55" s="3" t="s">
        <v>141</v>
      </c>
      <c r="B55" s="3" t="s">
        <v>21</v>
      </c>
      <c r="C55" s="3" t="s">
        <v>22</v>
      </c>
      <c r="D55" s="3" t="s">
        <v>23</v>
      </c>
      <c r="E55" s="3" t="s">
        <v>142</v>
      </c>
      <c r="F55" s="3" t="s">
        <v>16</v>
      </c>
      <c r="G55" s="5">
        <v>35478</v>
      </c>
      <c r="H55" s="6">
        <v>28</v>
      </c>
      <c r="I55" s="3">
        <v>1</v>
      </c>
      <c r="J55" s="3">
        <v>27911</v>
      </c>
      <c r="K55" s="7">
        <v>27911</v>
      </c>
    </row>
    <row r="56" spans="1:14" x14ac:dyDescent="0.3">
      <c r="A56" s="3" t="s">
        <v>143</v>
      </c>
      <c r="B56" s="3" t="s">
        <v>12</v>
      </c>
      <c r="C56" s="3" t="s">
        <v>18</v>
      </c>
      <c r="D56" s="3" t="s">
        <v>18</v>
      </c>
      <c r="E56" s="3" t="s">
        <v>144</v>
      </c>
      <c r="F56" s="3" t="s">
        <v>25</v>
      </c>
      <c r="G56" s="5">
        <v>29888</v>
      </c>
      <c r="H56" s="6">
        <v>44</v>
      </c>
      <c r="I56" s="3">
        <v>6</v>
      </c>
      <c r="J56" s="3">
        <v>41605</v>
      </c>
      <c r="K56" s="7">
        <v>249630</v>
      </c>
    </row>
    <row r="57" spans="1:14" x14ac:dyDescent="0.3">
      <c r="A57" s="3" t="s">
        <v>145</v>
      </c>
      <c r="B57" s="3" t="s">
        <v>21</v>
      </c>
      <c r="C57" s="3" t="s">
        <v>22</v>
      </c>
      <c r="D57" s="3" t="s">
        <v>23</v>
      </c>
      <c r="E57" s="3" t="s">
        <v>146</v>
      </c>
      <c r="F57" s="3" t="s">
        <v>16</v>
      </c>
      <c r="G57" s="5">
        <v>34461</v>
      </c>
      <c r="H57" s="6">
        <v>31</v>
      </c>
      <c r="I57" s="3">
        <v>5</v>
      </c>
      <c r="J57" s="3">
        <v>22317</v>
      </c>
      <c r="K57" s="7">
        <v>111585</v>
      </c>
    </row>
    <row r="58" spans="1:14" x14ac:dyDescent="0.3">
      <c r="A58" s="3" t="s">
        <v>147</v>
      </c>
      <c r="B58" s="3" t="s">
        <v>38</v>
      </c>
      <c r="C58" s="3" t="s">
        <v>55</v>
      </c>
      <c r="D58" s="3" t="s">
        <v>56</v>
      </c>
      <c r="E58" s="3" t="s">
        <v>148</v>
      </c>
      <c r="F58" s="3" t="s">
        <v>16</v>
      </c>
      <c r="G58" s="5">
        <v>27780</v>
      </c>
      <c r="H58" s="6">
        <v>49</v>
      </c>
      <c r="I58" s="3">
        <v>5</v>
      </c>
      <c r="J58" s="3">
        <v>23612</v>
      </c>
      <c r="K58" s="7">
        <v>118060</v>
      </c>
    </row>
    <row r="59" spans="1:14" x14ac:dyDescent="0.3">
      <c r="A59" s="3" t="s">
        <v>149</v>
      </c>
      <c r="B59" s="3" t="s">
        <v>12</v>
      </c>
      <c r="C59" s="3" t="s">
        <v>13</v>
      </c>
      <c r="D59" s="3" t="s">
        <v>14</v>
      </c>
      <c r="E59" s="3" t="s">
        <v>150</v>
      </c>
      <c r="F59" s="3" t="s">
        <v>25</v>
      </c>
      <c r="G59" s="5">
        <v>36406</v>
      </c>
      <c r="H59" s="6">
        <v>26</v>
      </c>
      <c r="I59" s="3">
        <v>6</v>
      </c>
      <c r="J59" s="3">
        <v>26194</v>
      </c>
      <c r="K59" s="7">
        <v>157164</v>
      </c>
    </row>
    <row r="60" spans="1:14" x14ac:dyDescent="0.3">
      <c r="A60" s="3" t="s">
        <v>151</v>
      </c>
      <c r="B60" s="3" t="s">
        <v>12</v>
      </c>
      <c r="C60" s="3" t="s">
        <v>74</v>
      </c>
      <c r="D60" s="3" t="s">
        <v>75</v>
      </c>
      <c r="E60" s="3" t="s">
        <v>152</v>
      </c>
      <c r="F60" s="3" t="s">
        <v>25</v>
      </c>
      <c r="G60" s="5">
        <v>32828</v>
      </c>
      <c r="H60" s="6">
        <v>36</v>
      </c>
      <c r="I60" s="3">
        <v>3</v>
      </c>
      <c r="J60" s="3">
        <v>11041</v>
      </c>
      <c r="K60" s="7">
        <v>33123</v>
      </c>
    </row>
    <row r="61" spans="1:14" x14ac:dyDescent="0.3">
      <c r="A61" s="3" t="s">
        <v>153</v>
      </c>
      <c r="B61" s="3" t="s">
        <v>38</v>
      </c>
      <c r="C61" s="3" t="s">
        <v>100</v>
      </c>
      <c r="D61" s="3" t="s">
        <v>101</v>
      </c>
      <c r="E61" s="3" t="s">
        <v>154</v>
      </c>
      <c r="F61" s="3" t="s">
        <v>25</v>
      </c>
      <c r="G61" s="5">
        <v>27204</v>
      </c>
      <c r="H61" s="6">
        <v>51</v>
      </c>
      <c r="I61" s="3">
        <v>7</v>
      </c>
      <c r="J61" s="3">
        <v>32486</v>
      </c>
      <c r="K61" s="7">
        <v>227402</v>
      </c>
    </row>
    <row r="62" spans="1:14" x14ac:dyDescent="0.3">
      <c r="A62" s="3" t="s">
        <v>155</v>
      </c>
      <c r="B62" s="3" t="s">
        <v>12</v>
      </c>
      <c r="C62" s="3" t="s">
        <v>74</v>
      </c>
      <c r="D62" s="3" t="s">
        <v>75</v>
      </c>
      <c r="E62" s="3" t="s">
        <v>156</v>
      </c>
      <c r="F62" s="3" t="s">
        <v>25</v>
      </c>
      <c r="G62" s="5">
        <v>33947</v>
      </c>
      <c r="H62" s="6">
        <v>33</v>
      </c>
      <c r="I62" s="3">
        <v>5</v>
      </c>
      <c r="J62" s="3">
        <v>39729</v>
      </c>
      <c r="K62" s="7">
        <v>198645</v>
      </c>
    </row>
    <row r="63" spans="1:14" x14ac:dyDescent="0.3">
      <c r="A63" s="3" t="s">
        <v>157</v>
      </c>
      <c r="B63" s="3" t="s">
        <v>38</v>
      </c>
      <c r="C63" s="3" t="s">
        <v>100</v>
      </c>
      <c r="D63" s="3" t="s">
        <v>101</v>
      </c>
      <c r="E63" s="3" t="s">
        <v>158</v>
      </c>
      <c r="F63" s="3" t="s">
        <v>16</v>
      </c>
      <c r="G63" s="5">
        <v>29224</v>
      </c>
      <c r="H63" s="6">
        <v>46</v>
      </c>
      <c r="I63" s="3">
        <v>7</v>
      </c>
      <c r="J63" s="3">
        <v>17442</v>
      </c>
      <c r="K63" s="7">
        <v>122094</v>
      </c>
    </row>
    <row r="64" spans="1:14" x14ac:dyDescent="0.3">
      <c r="A64" s="3" t="s">
        <v>159</v>
      </c>
      <c r="B64" s="3" t="s">
        <v>21</v>
      </c>
      <c r="C64" s="3" t="s">
        <v>22</v>
      </c>
      <c r="D64" s="3" t="s">
        <v>23</v>
      </c>
      <c r="E64" s="3" t="s">
        <v>160</v>
      </c>
      <c r="F64" s="3" t="s">
        <v>16</v>
      </c>
      <c r="G64" s="5">
        <v>36025</v>
      </c>
      <c r="H64" s="6">
        <v>27</v>
      </c>
      <c r="I64" s="3">
        <v>10</v>
      </c>
      <c r="J64" s="3">
        <v>49141</v>
      </c>
      <c r="K64" s="7">
        <v>491410</v>
      </c>
    </row>
    <row r="65" spans="1:11" x14ac:dyDescent="0.3">
      <c r="A65" s="3" t="s">
        <v>161</v>
      </c>
      <c r="B65" s="3" t="s">
        <v>38</v>
      </c>
      <c r="C65" s="3" t="s">
        <v>55</v>
      </c>
      <c r="D65" s="3" t="s">
        <v>56</v>
      </c>
      <c r="E65" s="3" t="s">
        <v>162</v>
      </c>
      <c r="F65" s="3" t="s">
        <v>16</v>
      </c>
      <c r="G65" s="5">
        <v>31773</v>
      </c>
      <c r="H65" s="6">
        <v>39</v>
      </c>
      <c r="I65" s="3">
        <v>9</v>
      </c>
      <c r="J65" s="3">
        <v>29912</v>
      </c>
      <c r="K65" s="7">
        <v>269208</v>
      </c>
    </row>
    <row r="66" spans="1:11" x14ac:dyDescent="0.3">
      <c r="A66" s="3" t="s">
        <v>163</v>
      </c>
      <c r="B66" s="3" t="s">
        <v>31</v>
      </c>
      <c r="C66" s="3" t="s">
        <v>32</v>
      </c>
      <c r="D66" s="3" t="s">
        <v>33</v>
      </c>
      <c r="E66" s="3" t="s">
        <v>164</v>
      </c>
      <c r="F66" s="3" t="s">
        <v>16</v>
      </c>
      <c r="G66" s="5">
        <v>26797</v>
      </c>
      <c r="H66" s="6">
        <v>52</v>
      </c>
      <c r="I66" s="3">
        <v>2</v>
      </c>
      <c r="J66" s="3">
        <v>40835</v>
      </c>
      <c r="K66" s="7">
        <v>81670</v>
      </c>
    </row>
    <row r="67" spans="1:11" x14ac:dyDescent="0.3">
      <c r="A67" s="3" t="s">
        <v>165</v>
      </c>
      <c r="B67" s="3" t="s">
        <v>21</v>
      </c>
      <c r="C67" s="3" t="s">
        <v>27</v>
      </c>
      <c r="D67" s="3" t="s">
        <v>28</v>
      </c>
      <c r="E67" s="3" t="s">
        <v>166</v>
      </c>
      <c r="F67" s="3" t="s">
        <v>16</v>
      </c>
      <c r="G67" s="5">
        <v>33391</v>
      </c>
      <c r="H67" s="6">
        <v>34</v>
      </c>
      <c r="I67" s="3">
        <v>7</v>
      </c>
      <c r="J67" s="3">
        <v>48731</v>
      </c>
      <c r="K67" s="7">
        <v>341117</v>
      </c>
    </row>
    <row r="68" spans="1:11" x14ac:dyDescent="0.3">
      <c r="A68" s="3" t="s">
        <v>167</v>
      </c>
      <c r="B68" s="3" t="s">
        <v>21</v>
      </c>
      <c r="C68" s="3" t="s">
        <v>63</v>
      </c>
      <c r="D68" s="3" t="s">
        <v>28</v>
      </c>
      <c r="E68" s="3" t="s">
        <v>168</v>
      </c>
      <c r="F68" s="3" t="s">
        <v>16</v>
      </c>
      <c r="G68" s="5">
        <v>30894</v>
      </c>
      <c r="H68" s="6">
        <v>41</v>
      </c>
      <c r="I68" s="3">
        <v>2</v>
      </c>
      <c r="J68" s="3">
        <v>9319</v>
      </c>
      <c r="K68" s="7">
        <v>18638</v>
      </c>
    </row>
    <row r="69" spans="1:11" x14ac:dyDescent="0.3">
      <c r="A69" s="3" t="s">
        <v>169</v>
      </c>
      <c r="B69" s="3" t="s">
        <v>38</v>
      </c>
      <c r="C69" s="3" t="s">
        <v>55</v>
      </c>
      <c r="D69" s="3" t="s">
        <v>56</v>
      </c>
      <c r="E69" s="3" t="s">
        <v>170</v>
      </c>
      <c r="F69" s="3" t="s">
        <v>16</v>
      </c>
      <c r="G69" s="5">
        <v>37904</v>
      </c>
      <c r="H69" s="6">
        <v>22</v>
      </c>
      <c r="I69" s="3">
        <v>2</v>
      </c>
      <c r="J69" s="3">
        <v>14770</v>
      </c>
      <c r="K69" s="7">
        <v>29540</v>
      </c>
    </row>
    <row r="70" spans="1:11" x14ac:dyDescent="0.3">
      <c r="A70" s="3" t="s">
        <v>171</v>
      </c>
      <c r="B70" s="3" t="s">
        <v>21</v>
      </c>
      <c r="C70" s="3" t="s">
        <v>22</v>
      </c>
      <c r="D70" s="3" t="s">
        <v>23</v>
      </c>
      <c r="E70" s="3" t="s">
        <v>172</v>
      </c>
      <c r="F70" s="3" t="s">
        <v>25</v>
      </c>
      <c r="G70" s="5">
        <v>21632</v>
      </c>
      <c r="H70" s="6">
        <v>66</v>
      </c>
      <c r="I70" s="3">
        <v>7</v>
      </c>
      <c r="J70" s="3">
        <v>39964</v>
      </c>
      <c r="K70" s="7">
        <v>279748</v>
      </c>
    </row>
    <row r="71" spans="1:11" x14ac:dyDescent="0.3">
      <c r="A71" s="3" t="s">
        <v>173</v>
      </c>
      <c r="B71" s="3" t="s">
        <v>38</v>
      </c>
      <c r="C71" s="3" t="s">
        <v>55</v>
      </c>
      <c r="D71" s="3" t="s">
        <v>56</v>
      </c>
      <c r="E71" s="3" t="s">
        <v>174</v>
      </c>
      <c r="F71" s="3" t="s">
        <v>25</v>
      </c>
      <c r="G71" s="5">
        <v>32034</v>
      </c>
      <c r="H71" s="6">
        <v>38</v>
      </c>
      <c r="I71" s="3">
        <v>9</v>
      </c>
      <c r="J71" s="3">
        <v>8085</v>
      </c>
      <c r="K71" s="7">
        <v>72765</v>
      </c>
    </row>
    <row r="72" spans="1:11" x14ac:dyDescent="0.3">
      <c r="A72" s="3" t="s">
        <v>175</v>
      </c>
      <c r="B72" s="3" t="s">
        <v>12</v>
      </c>
      <c r="C72" s="3" t="s">
        <v>18</v>
      </c>
      <c r="D72" s="3" t="s">
        <v>18</v>
      </c>
      <c r="E72" s="3" t="s">
        <v>176</v>
      </c>
      <c r="F72" s="3" t="s">
        <v>25</v>
      </c>
      <c r="G72" s="5">
        <v>28157</v>
      </c>
      <c r="H72" s="6">
        <v>48</v>
      </c>
      <c r="I72" s="3">
        <v>9</v>
      </c>
      <c r="J72" s="3">
        <v>29460</v>
      </c>
      <c r="K72" s="7">
        <v>265140</v>
      </c>
    </row>
    <row r="73" spans="1:11" x14ac:dyDescent="0.3">
      <c r="A73" s="3" t="s">
        <v>177</v>
      </c>
      <c r="B73" s="3" t="s">
        <v>38</v>
      </c>
      <c r="C73" s="3" t="s">
        <v>100</v>
      </c>
      <c r="D73" s="3" t="s">
        <v>101</v>
      </c>
      <c r="E73" s="3" t="s">
        <v>178</v>
      </c>
      <c r="F73" s="3" t="s">
        <v>16</v>
      </c>
      <c r="G73" s="5">
        <v>35023</v>
      </c>
      <c r="H73" s="6">
        <v>30</v>
      </c>
      <c r="I73" s="3">
        <v>9</v>
      </c>
      <c r="J73" s="3">
        <v>39307</v>
      </c>
      <c r="K73" s="7">
        <v>353763</v>
      </c>
    </row>
    <row r="74" spans="1:11" x14ac:dyDescent="0.3">
      <c r="A74" s="3" t="s">
        <v>179</v>
      </c>
      <c r="B74" s="3" t="s">
        <v>12</v>
      </c>
      <c r="C74" s="3" t="s">
        <v>13</v>
      </c>
      <c r="D74" s="3" t="s">
        <v>14</v>
      </c>
      <c r="E74" s="3" t="s">
        <v>180</v>
      </c>
      <c r="F74" s="3" t="s">
        <v>16</v>
      </c>
      <c r="G74" s="5">
        <v>30067</v>
      </c>
      <c r="H74" s="6">
        <v>43</v>
      </c>
      <c r="I74" s="3">
        <v>1</v>
      </c>
      <c r="J74" s="3">
        <v>34849</v>
      </c>
      <c r="K74" s="7">
        <v>34849</v>
      </c>
    </row>
    <row r="75" spans="1:11" x14ac:dyDescent="0.3">
      <c r="A75" s="3" t="s">
        <v>181</v>
      </c>
      <c r="B75" s="3" t="s">
        <v>31</v>
      </c>
      <c r="C75" s="3" t="s">
        <v>32</v>
      </c>
      <c r="D75" s="3" t="s">
        <v>33</v>
      </c>
      <c r="E75" s="3" t="s">
        <v>182</v>
      </c>
      <c r="F75" s="3" t="s">
        <v>25</v>
      </c>
      <c r="G75" s="5">
        <v>34187</v>
      </c>
      <c r="H75" s="6">
        <v>32</v>
      </c>
      <c r="I75" s="3">
        <v>10</v>
      </c>
      <c r="J75" s="3">
        <v>26074</v>
      </c>
      <c r="K75" s="7">
        <v>260740</v>
      </c>
    </row>
    <row r="76" spans="1:11" x14ac:dyDescent="0.3">
      <c r="A76" s="3" t="s">
        <v>183</v>
      </c>
      <c r="B76" s="3" t="s">
        <v>38</v>
      </c>
      <c r="C76" s="3" t="s">
        <v>39</v>
      </c>
      <c r="D76" s="3" t="s">
        <v>40</v>
      </c>
      <c r="E76" s="3" t="s">
        <v>184</v>
      </c>
      <c r="F76" s="3" t="s">
        <v>25</v>
      </c>
      <c r="G76" s="5">
        <v>25554</v>
      </c>
      <c r="H76" s="6">
        <v>56</v>
      </c>
      <c r="I76" s="3">
        <v>5</v>
      </c>
      <c r="J76" s="3">
        <v>45003</v>
      </c>
      <c r="K76" s="7">
        <v>225015</v>
      </c>
    </row>
    <row r="77" spans="1:11" x14ac:dyDescent="0.3">
      <c r="A77" s="3" t="s">
        <v>185</v>
      </c>
      <c r="B77" s="3" t="s">
        <v>21</v>
      </c>
      <c r="C77" s="3" t="s">
        <v>63</v>
      </c>
      <c r="D77" s="3" t="s">
        <v>28</v>
      </c>
      <c r="E77" s="3" t="s">
        <v>186</v>
      </c>
      <c r="F77" s="3" t="s">
        <v>16</v>
      </c>
      <c r="G77" s="5">
        <v>36624</v>
      </c>
      <c r="H77" s="6">
        <v>25</v>
      </c>
      <c r="I77" s="3">
        <v>7</v>
      </c>
      <c r="J77" s="3">
        <v>35147</v>
      </c>
      <c r="K77" s="7">
        <v>246029</v>
      </c>
    </row>
    <row r="78" spans="1:11" x14ac:dyDescent="0.3">
      <c r="A78" s="3" t="s">
        <v>187</v>
      </c>
      <c r="B78" s="3" t="s">
        <v>21</v>
      </c>
      <c r="C78" s="3" t="s">
        <v>27</v>
      </c>
      <c r="D78" s="3" t="s">
        <v>28</v>
      </c>
      <c r="E78" s="3" t="s">
        <v>188</v>
      </c>
      <c r="F78" s="3" t="s">
        <v>25</v>
      </c>
      <c r="G78" s="5">
        <v>25962</v>
      </c>
      <c r="H78" s="6">
        <v>54</v>
      </c>
      <c r="I78" s="3">
        <v>7</v>
      </c>
      <c r="J78" s="3">
        <v>39122</v>
      </c>
      <c r="K78" s="7">
        <v>273854</v>
      </c>
    </row>
    <row r="79" spans="1:11" x14ac:dyDescent="0.3">
      <c r="A79" s="3" t="s">
        <v>189</v>
      </c>
      <c r="B79" s="3" t="s">
        <v>38</v>
      </c>
      <c r="C79" s="3" t="s">
        <v>100</v>
      </c>
      <c r="D79" s="3" t="s">
        <v>101</v>
      </c>
      <c r="E79" s="3" t="s">
        <v>190</v>
      </c>
      <c r="F79" s="3" t="s">
        <v>25</v>
      </c>
      <c r="G79" s="5">
        <v>35718</v>
      </c>
      <c r="H79" s="6">
        <v>28</v>
      </c>
      <c r="I79" s="3">
        <v>5</v>
      </c>
      <c r="J79" s="3">
        <v>26747</v>
      </c>
      <c r="K79" s="7">
        <v>133735</v>
      </c>
    </row>
    <row r="80" spans="1:11" x14ac:dyDescent="0.3">
      <c r="A80" s="3" t="s">
        <v>191</v>
      </c>
      <c r="B80" s="3" t="s">
        <v>12</v>
      </c>
      <c r="C80" s="3" t="s">
        <v>18</v>
      </c>
      <c r="D80" s="3" t="s">
        <v>18</v>
      </c>
      <c r="E80" s="3" t="s">
        <v>192</v>
      </c>
      <c r="F80" s="3" t="s">
        <v>16</v>
      </c>
      <c r="G80" s="5">
        <v>32650</v>
      </c>
      <c r="H80" s="6">
        <v>36</v>
      </c>
      <c r="I80" s="3">
        <v>8</v>
      </c>
      <c r="J80" s="3">
        <v>30293</v>
      </c>
      <c r="K80" s="7">
        <v>242344</v>
      </c>
    </row>
    <row r="81" spans="1:11" x14ac:dyDescent="0.3">
      <c r="A81" s="3" t="s">
        <v>193</v>
      </c>
      <c r="B81" s="3" t="s">
        <v>21</v>
      </c>
      <c r="C81" s="3" t="s">
        <v>63</v>
      </c>
      <c r="D81" s="3" t="s">
        <v>28</v>
      </c>
      <c r="E81" s="3" t="s">
        <v>194</v>
      </c>
      <c r="F81" s="3" t="s">
        <v>25</v>
      </c>
      <c r="G81" s="5">
        <v>24049</v>
      </c>
      <c r="H81" s="6">
        <v>60</v>
      </c>
      <c r="I81" s="3">
        <v>9</v>
      </c>
      <c r="J81" s="3">
        <v>49123</v>
      </c>
      <c r="K81" s="7">
        <v>442107</v>
      </c>
    </row>
    <row r="82" spans="1:11" x14ac:dyDescent="0.3">
      <c r="A82" s="3" t="s">
        <v>195</v>
      </c>
      <c r="B82" s="3" t="s">
        <v>38</v>
      </c>
      <c r="C82" s="3" t="s">
        <v>100</v>
      </c>
      <c r="D82" s="3" t="s">
        <v>101</v>
      </c>
      <c r="E82" s="3" t="s">
        <v>196</v>
      </c>
      <c r="F82" s="3" t="s">
        <v>25</v>
      </c>
      <c r="G82" s="5">
        <v>34607</v>
      </c>
      <c r="H82" s="6">
        <v>31</v>
      </c>
      <c r="I82" s="3">
        <v>8</v>
      </c>
      <c r="J82" s="3">
        <v>16502</v>
      </c>
      <c r="K82" s="7">
        <v>132016</v>
      </c>
    </row>
    <row r="83" spans="1:11" x14ac:dyDescent="0.3">
      <c r="A83" s="3" t="s">
        <v>197</v>
      </c>
      <c r="B83" s="3" t="s">
        <v>38</v>
      </c>
      <c r="C83" s="3" t="s">
        <v>100</v>
      </c>
      <c r="D83" s="3" t="s">
        <v>101</v>
      </c>
      <c r="E83" s="3" t="s">
        <v>198</v>
      </c>
      <c r="F83" s="3" t="s">
        <v>16</v>
      </c>
      <c r="G83" s="5">
        <v>29047</v>
      </c>
      <c r="H83" s="6">
        <v>46</v>
      </c>
      <c r="I83" s="3">
        <v>8</v>
      </c>
      <c r="J83" s="3">
        <v>5071</v>
      </c>
      <c r="K83" s="7">
        <v>40568</v>
      </c>
    </row>
    <row r="84" spans="1:11" x14ac:dyDescent="0.3">
      <c r="A84" s="3" t="s">
        <v>199</v>
      </c>
      <c r="B84" s="3" t="s">
        <v>21</v>
      </c>
      <c r="C84" s="3" t="s">
        <v>63</v>
      </c>
      <c r="D84" s="3" t="s">
        <v>28</v>
      </c>
      <c r="E84" s="3" t="s">
        <v>200</v>
      </c>
      <c r="F84" s="3" t="s">
        <v>25</v>
      </c>
      <c r="G84" s="5">
        <v>35114</v>
      </c>
      <c r="H84" s="6">
        <v>29</v>
      </c>
      <c r="I84" s="3">
        <v>9</v>
      </c>
      <c r="J84" s="3">
        <v>2300</v>
      </c>
      <c r="K84" s="7">
        <v>20700</v>
      </c>
    </row>
    <row r="85" spans="1:11" x14ac:dyDescent="0.3">
      <c r="A85" s="3" t="s">
        <v>201</v>
      </c>
      <c r="B85" s="3" t="s">
        <v>12</v>
      </c>
      <c r="C85" s="3" t="s">
        <v>18</v>
      </c>
      <c r="D85" s="3" t="s">
        <v>18</v>
      </c>
      <c r="E85" s="3" t="s">
        <v>202</v>
      </c>
      <c r="F85" s="3" t="s">
        <v>16</v>
      </c>
      <c r="G85" s="5">
        <v>31284</v>
      </c>
      <c r="H85" s="6">
        <v>40</v>
      </c>
      <c r="I85" s="3">
        <v>6</v>
      </c>
      <c r="J85" s="3">
        <v>44877</v>
      </c>
      <c r="K85" s="7">
        <v>269262</v>
      </c>
    </row>
    <row r="86" spans="1:11" x14ac:dyDescent="0.3">
      <c r="A86" s="3" t="s">
        <v>203</v>
      </c>
      <c r="B86" s="3" t="s">
        <v>12</v>
      </c>
      <c r="C86" s="3" t="s">
        <v>18</v>
      </c>
      <c r="D86" s="3" t="s">
        <v>18</v>
      </c>
      <c r="E86" s="3" t="s">
        <v>204</v>
      </c>
      <c r="F86" s="3" t="s">
        <v>16</v>
      </c>
      <c r="G86" s="5">
        <v>33181</v>
      </c>
      <c r="H86" s="6">
        <v>35</v>
      </c>
      <c r="I86" s="3">
        <v>1</v>
      </c>
      <c r="J86" s="3">
        <v>3088</v>
      </c>
      <c r="K86" s="7">
        <v>3088</v>
      </c>
    </row>
    <row r="87" spans="1:11" x14ac:dyDescent="0.3">
      <c r="A87" s="3" t="s">
        <v>205</v>
      </c>
      <c r="B87" s="3" t="s">
        <v>12</v>
      </c>
      <c r="C87" s="3" t="s">
        <v>13</v>
      </c>
      <c r="D87" s="3" t="s">
        <v>14</v>
      </c>
      <c r="E87" s="3" t="s">
        <v>206</v>
      </c>
      <c r="F87" s="3" t="s">
        <v>16</v>
      </c>
      <c r="G87" s="5">
        <v>28714</v>
      </c>
      <c r="H87" s="6">
        <v>47</v>
      </c>
      <c r="I87" s="3">
        <v>10</v>
      </c>
      <c r="J87" s="3">
        <v>15764</v>
      </c>
      <c r="K87" s="7">
        <v>157640</v>
      </c>
    </row>
    <row r="88" spans="1:11" x14ac:dyDescent="0.3">
      <c r="A88" s="3" t="s">
        <v>207</v>
      </c>
      <c r="B88" s="3" t="s">
        <v>12</v>
      </c>
      <c r="C88" s="3" t="s">
        <v>13</v>
      </c>
      <c r="D88" s="3" t="s">
        <v>14</v>
      </c>
      <c r="E88" s="3" t="s">
        <v>208</v>
      </c>
      <c r="F88" s="3" t="s">
        <v>16</v>
      </c>
      <c r="G88" s="5">
        <v>35478</v>
      </c>
      <c r="H88" s="6">
        <v>28</v>
      </c>
      <c r="I88" s="3">
        <v>7</v>
      </c>
      <c r="J88" s="3">
        <v>45608</v>
      </c>
      <c r="K88" s="7">
        <v>319256</v>
      </c>
    </row>
    <row r="89" spans="1:11" x14ac:dyDescent="0.3">
      <c r="A89" s="3" t="s">
        <v>209</v>
      </c>
      <c r="B89" s="3" t="s">
        <v>38</v>
      </c>
      <c r="C89" s="3" t="s">
        <v>100</v>
      </c>
      <c r="D89" s="3" t="s">
        <v>101</v>
      </c>
      <c r="E89" s="3" t="s">
        <v>210</v>
      </c>
      <c r="F89" s="3" t="s">
        <v>25</v>
      </c>
      <c r="G89" s="5">
        <v>29888</v>
      </c>
      <c r="H89" s="6">
        <v>44</v>
      </c>
      <c r="I89" s="3">
        <v>6</v>
      </c>
      <c r="J89" s="3">
        <v>29445</v>
      </c>
      <c r="K89" s="7">
        <v>176670</v>
      </c>
    </row>
    <row r="90" spans="1:11" x14ac:dyDescent="0.3">
      <c r="A90" s="3" t="s">
        <v>211</v>
      </c>
      <c r="B90" s="3" t="s">
        <v>31</v>
      </c>
      <c r="C90" s="3" t="s">
        <v>32</v>
      </c>
      <c r="D90" s="3" t="s">
        <v>33</v>
      </c>
      <c r="E90" s="3" t="s">
        <v>212</v>
      </c>
      <c r="F90" s="3" t="s">
        <v>16</v>
      </c>
      <c r="G90" s="5">
        <v>34461</v>
      </c>
      <c r="H90" s="6">
        <v>31</v>
      </c>
      <c r="I90" s="3">
        <v>4</v>
      </c>
      <c r="J90" s="3">
        <v>14683</v>
      </c>
      <c r="K90" s="7">
        <v>58732</v>
      </c>
    </row>
    <row r="91" spans="1:11" x14ac:dyDescent="0.3">
      <c r="A91" s="3" t="s">
        <v>213</v>
      </c>
      <c r="B91" s="3" t="s">
        <v>31</v>
      </c>
      <c r="C91" s="3" t="s">
        <v>32</v>
      </c>
      <c r="D91" s="3" t="s">
        <v>33</v>
      </c>
      <c r="E91" s="3" t="s">
        <v>214</v>
      </c>
      <c r="F91" s="3" t="s">
        <v>25</v>
      </c>
      <c r="G91" s="5">
        <v>27780</v>
      </c>
      <c r="H91" s="6">
        <v>49</v>
      </c>
      <c r="I91" s="3">
        <v>5</v>
      </c>
      <c r="J91" s="3">
        <v>2108</v>
      </c>
      <c r="K91" s="7">
        <v>10540</v>
      </c>
    </row>
    <row r="92" spans="1:11" x14ac:dyDescent="0.3">
      <c r="A92" s="3" t="s">
        <v>215</v>
      </c>
      <c r="B92" s="3" t="s">
        <v>12</v>
      </c>
      <c r="C92" s="3" t="s">
        <v>13</v>
      </c>
      <c r="D92" s="3" t="s">
        <v>14</v>
      </c>
      <c r="E92" s="3" t="s">
        <v>216</v>
      </c>
      <c r="F92" s="3" t="s">
        <v>25</v>
      </c>
      <c r="G92" s="5">
        <v>36406</v>
      </c>
      <c r="H92" s="6">
        <v>26</v>
      </c>
      <c r="I92" s="3">
        <v>1</v>
      </c>
      <c r="J92" s="3">
        <v>41051</v>
      </c>
      <c r="K92" s="7">
        <v>41051</v>
      </c>
    </row>
    <row r="93" spans="1:11" x14ac:dyDescent="0.3">
      <c r="A93" s="3" t="s">
        <v>217</v>
      </c>
      <c r="B93" s="3" t="s">
        <v>38</v>
      </c>
      <c r="C93" s="3" t="s">
        <v>100</v>
      </c>
      <c r="D93" s="3" t="s">
        <v>101</v>
      </c>
      <c r="E93" s="3" t="s">
        <v>218</v>
      </c>
      <c r="F93" s="3" t="s">
        <v>16</v>
      </c>
      <c r="G93" s="5">
        <v>32828</v>
      </c>
      <c r="H93" s="6">
        <v>36</v>
      </c>
      <c r="I93" s="3">
        <v>4</v>
      </c>
      <c r="J93" s="3">
        <v>41971</v>
      </c>
      <c r="K93" s="7">
        <v>167884</v>
      </c>
    </row>
    <row r="94" spans="1:11" x14ac:dyDescent="0.3">
      <c r="A94" s="3" t="s">
        <v>219</v>
      </c>
      <c r="B94" s="3" t="s">
        <v>31</v>
      </c>
      <c r="C94" s="3" t="s">
        <v>32</v>
      </c>
      <c r="D94" s="3" t="s">
        <v>33</v>
      </c>
      <c r="E94" s="3" t="s">
        <v>220</v>
      </c>
      <c r="F94" s="3" t="s">
        <v>25</v>
      </c>
      <c r="G94" s="5">
        <v>27204</v>
      </c>
      <c r="H94" s="6">
        <v>51</v>
      </c>
      <c r="I94" s="3">
        <v>4</v>
      </c>
      <c r="J94" s="3">
        <v>33980</v>
      </c>
      <c r="K94" s="7">
        <v>135920</v>
      </c>
    </row>
    <row r="95" spans="1:11" x14ac:dyDescent="0.3">
      <c r="A95" s="3" t="s">
        <v>221</v>
      </c>
      <c r="B95" s="3" t="s">
        <v>12</v>
      </c>
      <c r="C95" s="3" t="s">
        <v>13</v>
      </c>
      <c r="D95" s="3" t="s">
        <v>14</v>
      </c>
      <c r="E95" s="3" t="s">
        <v>222</v>
      </c>
      <c r="F95" s="3" t="s">
        <v>25</v>
      </c>
      <c r="G95" s="5">
        <v>33947</v>
      </c>
      <c r="H95" s="6">
        <v>33</v>
      </c>
      <c r="I95" s="3">
        <v>5</v>
      </c>
      <c r="J95" s="3">
        <v>16027</v>
      </c>
      <c r="K95" s="7">
        <v>80135</v>
      </c>
    </row>
    <row r="96" spans="1:11" x14ac:dyDescent="0.3">
      <c r="A96" s="3" t="s">
        <v>223</v>
      </c>
      <c r="B96" s="3" t="s">
        <v>21</v>
      </c>
      <c r="C96" s="3" t="s">
        <v>22</v>
      </c>
      <c r="D96" s="3" t="s">
        <v>23</v>
      </c>
      <c r="E96" s="3" t="s">
        <v>224</v>
      </c>
      <c r="F96" s="3" t="s">
        <v>25</v>
      </c>
      <c r="G96" s="5">
        <v>29224</v>
      </c>
      <c r="H96" s="6">
        <v>46</v>
      </c>
      <c r="I96" s="3">
        <v>1</v>
      </c>
      <c r="J96" s="3">
        <v>4367</v>
      </c>
      <c r="K96" s="7">
        <v>4367</v>
      </c>
    </row>
    <row r="97" spans="1:11" x14ac:dyDescent="0.3">
      <c r="A97" s="3" t="s">
        <v>225</v>
      </c>
      <c r="B97" s="3" t="s">
        <v>12</v>
      </c>
      <c r="C97" s="3" t="s">
        <v>74</v>
      </c>
      <c r="D97" s="3" t="s">
        <v>75</v>
      </c>
      <c r="E97" s="3" t="s">
        <v>226</v>
      </c>
      <c r="F97" s="3" t="s">
        <v>16</v>
      </c>
      <c r="G97" s="5">
        <v>36025</v>
      </c>
      <c r="H97" s="6">
        <v>27</v>
      </c>
      <c r="I97" s="3">
        <v>2</v>
      </c>
      <c r="J97" s="3">
        <v>31948</v>
      </c>
      <c r="K97" s="7">
        <v>63896</v>
      </c>
    </row>
    <row r="98" spans="1:11" x14ac:dyDescent="0.3">
      <c r="A98" s="3" t="s">
        <v>227</v>
      </c>
      <c r="B98" s="3" t="s">
        <v>21</v>
      </c>
      <c r="C98" s="3" t="s">
        <v>22</v>
      </c>
      <c r="D98" s="3" t="s">
        <v>23</v>
      </c>
      <c r="E98" s="3" t="s">
        <v>228</v>
      </c>
      <c r="F98" s="3" t="s">
        <v>16</v>
      </c>
      <c r="G98" s="5">
        <v>31773</v>
      </c>
      <c r="H98" s="6">
        <v>39</v>
      </c>
      <c r="I98" s="3">
        <v>4</v>
      </c>
      <c r="J98" s="3">
        <v>11649</v>
      </c>
      <c r="K98" s="7">
        <v>46596</v>
      </c>
    </row>
    <row r="99" spans="1:11" x14ac:dyDescent="0.3">
      <c r="A99" s="3" t="s">
        <v>229</v>
      </c>
      <c r="B99" s="3" t="s">
        <v>38</v>
      </c>
      <c r="C99" s="3" t="s">
        <v>100</v>
      </c>
      <c r="D99" s="3" t="s">
        <v>101</v>
      </c>
      <c r="E99" s="3" t="s">
        <v>230</v>
      </c>
      <c r="F99" s="3" t="s">
        <v>16</v>
      </c>
      <c r="G99" s="5">
        <v>26797</v>
      </c>
      <c r="H99" s="6">
        <v>52</v>
      </c>
      <c r="I99" s="3">
        <v>1</v>
      </c>
      <c r="J99" s="3">
        <v>16594</v>
      </c>
      <c r="K99" s="7">
        <v>16594</v>
      </c>
    </row>
    <row r="100" spans="1:11" x14ac:dyDescent="0.3">
      <c r="A100" s="13" t="s">
        <v>231</v>
      </c>
      <c r="B100" s="13" t="s">
        <v>38</v>
      </c>
      <c r="C100" s="13" t="s">
        <v>39</v>
      </c>
      <c r="D100" s="13" t="s">
        <v>40</v>
      </c>
      <c r="E100" s="13" t="s">
        <v>232</v>
      </c>
      <c r="F100" s="13" t="s">
        <v>16</v>
      </c>
      <c r="G100" s="14">
        <v>33391</v>
      </c>
      <c r="H100" s="15">
        <v>34</v>
      </c>
      <c r="I100" s="13">
        <v>3</v>
      </c>
      <c r="J100" s="13">
        <v>8099</v>
      </c>
      <c r="K100" s="16">
        <v>24297</v>
      </c>
    </row>
  </sheetData>
  <mergeCells count="1">
    <mergeCell ref="M14:N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2026-01-13T11:14:30Z</dcterms:created>
  <dcterms:modified xsi:type="dcterms:W3CDTF">2026-01-21T02:16:19Z</dcterms:modified>
</cp:coreProperties>
</file>