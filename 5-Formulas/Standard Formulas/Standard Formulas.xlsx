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2"/>
  <workbookPr codeName="ThisWorkbook"/>
  <mc:AlternateContent xmlns:mc="http://schemas.openxmlformats.org/markup-compatibility/2006">
    <mc:Choice Requires="x15">
      <x15ac:absPath xmlns:x15ac="http://schemas.microsoft.com/office/spreadsheetml/2010/11/ac" url="C:\Add-Ins Testing\5-Formulas\Standard Formulas\"/>
    </mc:Choice>
  </mc:AlternateContent>
  <xr:revisionPtr revIDLastSave="0" documentId="13_ncr:1_{726587EF-077C-4DBE-9A57-FFC4F7459F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_Formula_Lab_0121_25" sheetId="3" r:id="rId1"/>
    <sheet name="Formula_Lab_0121_28" sheetId="2" r:id="rId2"/>
    <sheet name="Sheet1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 a="1"/>
  <c r="D5" i="2" s="1"/>
  <c r="B29" i="2"/>
  <c r="B24" i="2"/>
  <c r="B23" i="2"/>
  <c r="B17" i="2"/>
  <c r="B16" i="2"/>
  <c r="B15" i="2"/>
  <c r="B9" i="2"/>
  <c r="B8" i="2"/>
  <c r="B7" i="2"/>
  <c r="B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<sst xmlns="http://schemas.openxmlformats.org/spreadsheetml/2006/main" count="132" uniqueCount="115">
  <si>
    <t>1. DATA EXTRACTION FORMULAS</t>
  </si>
  <si>
    <t>Formula Name</t>
  </si>
  <si>
    <t>Sample Data (Messy Input)</t>
  </si>
  <si>
    <t>Apply Formula Here</t>
  </si>
  <si>
    <t>Room #505 @ Hotel</t>
  </si>
  <si>
    <t>Order ID: #ORD-9985-X</t>
  </si>
  <si>
    <t>Type: =XL_ExtractNumbers(C6)</t>
  </si>
  <si>
    <t>Contact admin@site.com for info</t>
  </si>
  <si>
    <t>Type: =XL_ExtractEmails(C7)</t>
  </si>
  <si>
    <t>Call +91-9876543210 urgent</t>
  </si>
  <si>
    <t>Type: =XL_MobileNumberOnly(C8)</t>
  </si>
  <si>
    <t>Visit https://www.google.com now</t>
  </si>
  <si>
    <t>Type: =XL_ExtractURL(C9)</t>
  </si>
  <si>
    <t>2. TEXT CLEANING &amp; MANIPULATION</t>
  </si>
  <si>
    <t>Sample Data</t>
  </si>
  <si>
    <t>Hello! @World# $2024</t>
  </si>
  <si>
    <t>Type: =XL_RemoveSpecialChars(C15)</t>
  </si>
  <si>
    <t>PowerPointPresentation</t>
  </si>
  <si>
    <t>Type: =XL_AddSpace(C16)</t>
  </si>
  <si>
    <t>Sharma Rahul</t>
  </si>
  <si>
    <t>Type: =XL_ReverseName(C17)</t>
  </si>
  <si>
    <t>3. DATE &amp; MATH UTILITIES</t>
  </si>
  <si>
    <t>Type: =XL_AgeFromDOB(C23)</t>
  </si>
  <si>
    <t>Type: =XL_ConvertToWords(C24)</t>
  </si>
  <si>
    <t>4. GENERATORS (No Input Needed)</t>
  </si>
  <si>
    <t>Input (Length)</t>
  </si>
  <si>
    <t>Type: =XL_GeneratePassword(12)</t>
  </si>
  <si>
    <t>HOW TO USE THIS LAB:</t>
  </si>
  <si>
    <t>1. YELLOW CELLS are for practicing.</t>
  </si>
  <si>
    <t>2. Select a yellow cell (Col D).</t>
  </si>
  <si>
    <t>3. Go to Ribbon -&gt; Click the specific Formula Button.</t>
  </si>
  <si>
    <t xml:space="preserve">   (Or type the formula manually as shown).</t>
  </si>
  <si>
    <t>Note: If formula shows #NAME?, make sure</t>
  </si>
  <si>
    <t>your Add-in is installed correctly.</t>
  </si>
  <si>
    <t>=XL_ExtractText()</t>
  </si>
  <si>
    <t>1. EXTRACT TEXT ONLY</t>
  </si>
  <si>
    <t>Input Data (Real World)</t>
  </si>
  <si>
    <t>SKU: 998-X (Wireless Mouse)</t>
  </si>
  <si>
    <t>Order ID #45002 - PENDING</t>
  </si>
  <si>
    <t>2024_Budget_Final_v2.xlsx</t>
  </si>
  <si>
    <t>Error Code 404: Not Found</t>
  </si>
  <si>
    <t>Price: $50.00 / Unit</t>
  </si>
  <si>
    <t>2. EXTRACT NUMBERS ONLY</t>
  </si>
  <si>
    <t>Invoice Amount: USD 4,500</t>
  </si>
  <si>
    <t>Order #ORD-2024-9988</t>
  </si>
  <si>
    <t>Phone: (+91) 98765-43210</t>
  </si>
  <si>
    <t>Flat No. 102, Tower 5</t>
  </si>
  <si>
    <t>Discount: 15% Off</t>
  </si>
  <si>
    <t>3. EXTRACT EMAILS (Multiple Support)</t>
  </si>
  <si>
    <t>CC: manager@hr.com, director@hr.com</t>
  </si>
  <si>
    <t>Send resume to careers@tech.io immediately.</t>
  </si>
  <si>
    <t>Login: admin@portal.net | Backup: recovery@portal.net</t>
  </si>
  <si>
    <t>No email address provided here.</t>
  </si>
  <si>
    <t>4. INDIAN MOBILE NUMBERS (10 Digit)</t>
  </si>
  <si>
    <t>Call me at +91-9899001122 urgent.</t>
  </si>
  <si>
    <t>Office Landline: 011-2554321 (Do not pick)</t>
  </si>
  <si>
    <t>Customer: 8877665544 (Verified)</t>
  </si>
  <si>
    <t>Wrong Number: 123456</t>
  </si>
  <si>
    <t>My alt number is 77000-88000 today.</t>
  </si>
  <si>
    <t>5. REMOVE SPECIAL CHARACTERS</t>
  </si>
  <si>
    <t>Project_Name_Final@2024!</t>
  </si>
  <si>
    <t>User#Name: (Admin_01)</t>
  </si>
  <si>
    <t>Cost = $500 &amp; Tax = $20</t>
  </si>
  <si>
    <t>Hello***World???</t>
  </si>
  <si>
    <t>File/Name\Path|Invalid</t>
  </si>
  <si>
    <t>6. EXTRACT URLs</t>
  </si>
  <si>
    <t>Visit our site https://www.google.com for info.</t>
  </si>
  <si>
    <t>Check profile: www.linkedin.com/in/user</t>
  </si>
  <si>
    <t>Server IP: 192.168.1.1 (Ignore)</t>
  </si>
  <si>
    <t>Click here: example.org/promo</t>
  </si>
  <si>
    <t>7. AGE CALCULATOR (From DOB)</t>
  </si>
  <si>
    <t>8. NUMBER TO WORDS (Currency)</t>
  </si>
  <si>
    <t>9. PASSWORD GENERATOR (Input = Length)</t>
  </si>
  <si>
    <t>10. ADD SPACE (Fix CamelCase)</t>
  </si>
  <si>
    <t>HelloWorld</t>
  </si>
  <si>
    <t>11. REVERSE NAME (Last First -&gt; First Last)</t>
  </si>
  <si>
    <t>Singh Priya</t>
  </si>
  <si>
    <t>Potter Harry</t>
  </si>
  <si>
    <t>INSTRUCTIONS:</t>
  </si>
  <si>
    <t>1. YELLOW cells are for applying your formula.</t>
  </si>
  <si>
    <t>2. GRAY cells contain real-world messy data.</t>
  </si>
  <si>
    <t>3. Select a yellow cell and click the Ribbon Button.</t>
  </si>
  <si>
    <t xml:space="preserve">   (Or type formula manually to test).</t>
  </si>
  <si>
    <t>=XL_ExtractEmails(B24)</t>
  </si>
  <si>
    <t>Input Data</t>
  </si>
  <si>
    <t>=XL_ExtractText(B6)</t>
  </si>
  <si>
    <t>=XL_ExtractNumbers(B15)</t>
  </si>
  <si>
    <t>=XL_MobileNumberOnly(B33)</t>
  </si>
  <si>
    <t>Contact support@gmail.com for help.</t>
  </si>
  <si>
    <t>=XL_RemoveSpecialChars(B42)</t>
  </si>
  <si>
    <t>Download from files.server.net/data</t>
  </si>
  <si>
    <t>=XL_ExtractURL(B51)</t>
  </si>
  <si>
    <t>=XL_AgeFromDOB(B60)</t>
  </si>
  <si>
    <t>=XL_ConvertToWords(B69)</t>
  </si>
  <si>
    <t>=XL_GeneratePassword(B78)</t>
  </si>
  <si>
    <t>PowerPoint</t>
  </si>
  <si>
    <t>MicrosoftExcel</t>
  </si>
  <si>
    <t>EmployeeName</t>
  </si>
  <si>
    <t>AnnualBudget</t>
  </si>
  <si>
    <t>=XL_AddSpace(B87)</t>
  </si>
  <si>
    <t>Man Iron</t>
  </si>
  <si>
    <t>Man Spider</t>
  </si>
  <si>
    <t>=XL_ReverseName(B96)</t>
  </si>
  <si>
    <t>11 Standard Formulas (Real World Use Cases)</t>
  </si>
  <si>
    <t>Formula =XL_ExtractText(Cell)</t>
  </si>
  <si>
    <t>Formula =XL_ExtractNumbers(Cell)</t>
  </si>
  <si>
    <t>Formula =XL_ExtractEmails(Cell)</t>
  </si>
  <si>
    <t>Formula =XL_MobileNumberOnly(Cell)</t>
  </si>
  <si>
    <t>Formula =XL_RemoveSpecialChars(Cell)</t>
  </si>
  <si>
    <t>Formula =XL_ExtractURL(Cell)</t>
  </si>
  <si>
    <t>Formula =XL_AgeFromDOB(Cell)</t>
  </si>
  <si>
    <t>Formula =XL_ConvertToWords(Cell)</t>
  </si>
  <si>
    <t>Formula =XL_AddSpace(Cell)</t>
  </si>
  <si>
    <t>Formula =XL_GeneratePassword(Length)</t>
  </si>
  <si>
    <t>Formula =XL_ReverseName(Cell)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</si>
</sst>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23232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6"/>
      <color rgb="FF0064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i/>
      <sz val="11"/>
      <color rgb="FF646464"/>
      <name val="Segoe UI"/>
      <family val="2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 tint="0.14999847407452621"/>
      <name val="Calibri"/>
      <family val="2"/>
      <scheme val="minor"/>
    </font>
    <font>
      <b/>
      <sz val="11"/>
      <color rgb="FFFF79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2" borderId="0" xfId="0" applyFont="1" applyFill="1"/>
    <xf numFmtId="0" fontId="7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15" fontId="8" fillId="0" borderId="2" xfId="0" applyNumberFormat="1" applyFont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10" fillId="4" borderId="1" xfId="0" applyFont="1" applyFill="1" applyBorder="1"/>
    <xf numFmtId="0" fontId="0" fillId="4" borderId="1" xfId="0" applyFill="1" applyBorder="1"/>
    <xf numFmtId="0" fontId="8" fillId="0" borderId="2" xfId="0" quotePrefix="1" applyFont="1" applyBorder="1" applyAlignment="1">
      <alignment vertical="center"/>
    </xf>
    <xf numFmtId="0" fontId="11" fillId="0" borderId="0" xfId="0" applyFont="1"/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6" borderId="1" xfId="0" applyFill="1" applyBorder="1"/>
    <xf numFmtId="0" fontId="12" fillId="3" borderId="1" xfId="0" applyFont="1" applyFill="1" applyBorder="1" applyAlignment="1">
      <alignment vertical="center"/>
    </xf>
    <xf numFmtId="0" fontId="12" fillId="3" borderId="1" xfId="0" quotePrefix="1" applyFont="1" applyFill="1" applyBorder="1" applyAlignment="1">
      <alignment vertical="center"/>
    </xf>
    <xf numFmtId="0" fontId="13" fillId="6" borderId="1" xfId="0" applyFont="1" applyFill="1" applyBorder="1"/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AppData\Roaming\Microsoft\AddIns\XLBooster.xlam" TargetMode="External"/><Relationship Id="rId1" Type="http://schemas.openxmlformats.org/officeDocument/2006/relationships/externalLinkPath" Target="/Users/Administrator/AppData/Roaming/Microsoft/AddIns/XLBoost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CLIPBOARD_TEMP__"/>
      <sheetName val="__ExportLog"/>
      <sheetName val="SJ_TickFormats"/>
      <sheetName val="Sheet"/>
    </sheetNames>
    <definedNames>
      <definedName name="XL_AddSpace"/>
      <definedName name="XL_AgeFromDOB"/>
      <definedName name="XL_ConvertToWords"/>
      <definedName name="XL_ExtractEmails"/>
      <definedName name="XL_ExtractNumbers"/>
      <definedName name="XL_ExtractText"/>
      <definedName name="XL_ExtractURL"/>
      <definedName name="XL_GeneratePassword"/>
      <definedName name="XL_MobileNumberOnly"/>
      <definedName name="XL_RemoveSpecialChars"/>
      <definedName name="XL_ReverseName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CD05-B15C-48E1-AFA7-6FA58771C81B}">
  <sheetPr codeName="Sheet3"/>
  <dimension ref="B2:E100"/>
  <sheetViews>
    <sheetView showGridLines="0" tabSelected="1" workbookViewId="0">
      <selection activeCell="D18" sqref="D18"/>
    </sheetView>
  </sheetViews>
  <sheetFormatPr defaultRowHeight="14.4" x14ac:dyDescent="0.3"/>
  <cols>
    <col min="2" max="2" width="46.77734375" customWidth="1"/>
    <col min="3" max="3" width="40.77734375" customWidth="1"/>
    <col min="5" max="5" width="50.77734375" customWidth="1"/>
  </cols>
  <sheetData>
    <row r="2" spans="2:5" ht="23.4" x14ac:dyDescent="0.45">
      <c r="B2" s="14" t="s">
        <v>103</v>
      </c>
    </row>
    <row r="4" spans="2:5" x14ac:dyDescent="0.3">
      <c r="B4" s="6" t="s">
        <v>35</v>
      </c>
      <c r="C4" s="5"/>
      <c r="E4" s="20" t="s">
        <v>78</v>
      </c>
    </row>
    <row r="5" spans="2:5" x14ac:dyDescent="0.3">
      <c r="B5" s="15" t="s">
        <v>84</v>
      </c>
      <c r="C5" s="15" t="s">
        <v>104</v>
      </c>
      <c r="E5" s="17" t="s">
        <v>79</v>
      </c>
    </row>
    <row r="6" spans="2:5" ht="19.95" customHeight="1" x14ac:dyDescent="0.3">
      <c r="B6" s="16" t="s">
        <v>37</v>
      </c>
      <c r="C6" s="19" t="s">
        <v>85</v>
      </c>
      <c r="E6" s="17" t="s">
        <v>80</v>
      </c>
    </row>
    <row r="7" spans="2:5" ht="19.95" customHeight="1" x14ac:dyDescent="0.3">
      <c r="B7" s="16" t="s">
        <v>38</v>
      </c>
      <c r="C7" s="19"/>
      <c r="E7" s="17" t="s">
        <v>81</v>
      </c>
    </row>
    <row r="8" spans="2:5" ht="19.95" customHeight="1" x14ac:dyDescent="0.3">
      <c r="B8" s="16" t="s">
        <v>39</v>
      </c>
      <c r="C8" s="19"/>
      <c r="E8" s="17" t="s">
        <v>82</v>
      </c>
    </row>
    <row r="9" spans="2:5" ht="19.95" customHeight="1" x14ac:dyDescent="0.3">
      <c r="B9" s="16" t="s">
        <v>40</v>
      </c>
      <c r="C9" s="19"/>
    </row>
    <row r="10" spans="2:5" ht="19.95" customHeight="1" x14ac:dyDescent="0.3">
      <c r="B10" s="16" t="s">
        <v>41</v>
      </c>
      <c r="C10" s="19"/>
    </row>
    <row r="13" spans="2:5" x14ac:dyDescent="0.3">
      <c r="B13" s="6" t="s">
        <v>42</v>
      </c>
      <c r="C13" s="5"/>
    </row>
    <row r="14" spans="2:5" x14ac:dyDescent="0.3">
      <c r="B14" s="15" t="s">
        <v>84</v>
      </c>
      <c r="C14" s="15" t="s">
        <v>105</v>
      </c>
    </row>
    <row r="15" spans="2:5" ht="19.95" customHeight="1" x14ac:dyDescent="0.3">
      <c r="B15" s="16" t="s">
        <v>43</v>
      </c>
      <c r="C15" s="19" t="s">
        <v>86</v>
      </c>
    </row>
    <row r="16" spans="2:5" ht="19.95" customHeight="1" x14ac:dyDescent="0.3">
      <c r="B16" s="16" t="s">
        <v>44</v>
      </c>
      <c r="C16" s="19"/>
    </row>
    <row r="17" spans="2:3" ht="19.95" customHeight="1" x14ac:dyDescent="0.3">
      <c r="B17" s="16" t="s">
        <v>45</v>
      </c>
      <c r="C17" s="19"/>
    </row>
    <row r="18" spans="2:3" ht="19.95" customHeight="1" x14ac:dyDescent="0.3">
      <c r="B18" s="16" t="s">
        <v>46</v>
      </c>
      <c r="C18" s="19"/>
    </row>
    <row r="19" spans="2:3" ht="19.95" customHeight="1" x14ac:dyDescent="0.3">
      <c r="B19" s="16" t="s">
        <v>47</v>
      </c>
      <c r="C19" s="19"/>
    </row>
    <row r="22" spans="2:3" x14ac:dyDescent="0.3">
      <c r="B22" s="6" t="s">
        <v>48</v>
      </c>
      <c r="C22" s="5"/>
    </row>
    <row r="23" spans="2:3" x14ac:dyDescent="0.3">
      <c r="B23" s="15" t="s">
        <v>84</v>
      </c>
      <c r="C23" s="15" t="s">
        <v>106</v>
      </c>
    </row>
    <row r="24" spans="2:3" ht="19.95" customHeight="1" x14ac:dyDescent="0.3">
      <c r="B24" s="16" t="s">
        <v>88</v>
      </c>
      <c r="C24" s="19" t="s">
        <v>83</v>
      </c>
    </row>
    <row r="25" spans="2:3" ht="19.95" customHeight="1" x14ac:dyDescent="0.3">
      <c r="B25" s="16" t="s">
        <v>49</v>
      </c>
      <c r="C25" s="19"/>
    </row>
    <row r="26" spans="2:3" ht="19.95" customHeight="1" x14ac:dyDescent="0.3">
      <c r="B26" s="16" t="s">
        <v>50</v>
      </c>
      <c r="C26" s="19"/>
    </row>
    <row r="27" spans="2:3" ht="19.95" customHeight="1" x14ac:dyDescent="0.3">
      <c r="B27" s="16" t="s">
        <v>51</v>
      </c>
      <c r="C27" s="19"/>
    </row>
    <row r="28" spans="2:3" ht="19.95" customHeight="1" x14ac:dyDescent="0.3">
      <c r="B28" s="16" t="s">
        <v>52</v>
      </c>
      <c r="C28" s="19"/>
    </row>
    <row r="31" spans="2:3" x14ac:dyDescent="0.3">
      <c r="B31" s="6" t="s">
        <v>53</v>
      </c>
      <c r="C31" s="5"/>
    </row>
    <row r="32" spans="2:3" x14ac:dyDescent="0.3">
      <c r="B32" s="15" t="s">
        <v>84</v>
      </c>
      <c r="C32" s="15" t="s">
        <v>107</v>
      </c>
    </row>
    <row r="33" spans="2:3" ht="19.95" customHeight="1" x14ac:dyDescent="0.3">
      <c r="B33" s="16" t="s">
        <v>54</v>
      </c>
      <c r="C33" s="19" t="s">
        <v>87</v>
      </c>
    </row>
    <row r="34" spans="2:3" ht="19.95" customHeight="1" x14ac:dyDescent="0.3">
      <c r="B34" s="16" t="s">
        <v>55</v>
      </c>
      <c r="C34" s="19"/>
    </row>
    <row r="35" spans="2:3" ht="19.95" customHeight="1" x14ac:dyDescent="0.3">
      <c r="B35" s="16" t="s">
        <v>56</v>
      </c>
      <c r="C35" s="19"/>
    </row>
    <row r="36" spans="2:3" ht="19.95" customHeight="1" x14ac:dyDescent="0.3">
      <c r="B36" s="16" t="s">
        <v>57</v>
      </c>
      <c r="C36" s="19"/>
    </row>
    <row r="37" spans="2:3" ht="19.95" customHeight="1" x14ac:dyDescent="0.3">
      <c r="B37" s="16" t="s">
        <v>58</v>
      </c>
      <c r="C37" s="19"/>
    </row>
    <row r="40" spans="2:3" x14ac:dyDescent="0.3">
      <c r="B40" s="6" t="s">
        <v>59</v>
      </c>
      <c r="C40" s="5"/>
    </row>
    <row r="41" spans="2:3" x14ac:dyDescent="0.3">
      <c r="B41" s="15" t="s">
        <v>84</v>
      </c>
      <c r="C41" s="15" t="s">
        <v>108</v>
      </c>
    </row>
    <row r="42" spans="2:3" ht="19.95" customHeight="1" x14ac:dyDescent="0.3">
      <c r="B42" s="16" t="s">
        <v>60</v>
      </c>
      <c r="C42" s="19" t="s">
        <v>89</v>
      </c>
    </row>
    <row r="43" spans="2:3" ht="19.95" customHeight="1" x14ac:dyDescent="0.3">
      <c r="B43" s="16" t="s">
        <v>61</v>
      </c>
      <c r="C43" s="18"/>
    </row>
    <row r="44" spans="2:3" ht="19.95" customHeight="1" x14ac:dyDescent="0.3">
      <c r="B44" s="16" t="s">
        <v>62</v>
      </c>
      <c r="C44" s="18"/>
    </row>
    <row r="45" spans="2:3" ht="19.95" customHeight="1" x14ac:dyDescent="0.3">
      <c r="B45" s="16" t="s">
        <v>63</v>
      </c>
      <c r="C45" s="18"/>
    </row>
    <row r="46" spans="2:3" ht="19.95" customHeight="1" x14ac:dyDescent="0.3">
      <c r="B46" s="16" t="s">
        <v>64</v>
      </c>
      <c r="C46" s="18"/>
    </row>
    <row r="49" spans="2:3" x14ac:dyDescent="0.3">
      <c r="B49" s="6" t="s">
        <v>65</v>
      </c>
      <c r="C49" s="5"/>
    </row>
    <row r="50" spans="2:3" x14ac:dyDescent="0.3">
      <c r="B50" s="15" t="s">
        <v>36</v>
      </c>
      <c r="C50" s="15" t="s">
        <v>109</v>
      </c>
    </row>
    <row r="51" spans="2:3" ht="19.95" customHeight="1" x14ac:dyDescent="0.3">
      <c r="B51" s="16" t="s">
        <v>66</v>
      </c>
      <c r="C51" s="19" t="s">
        <v>91</v>
      </c>
    </row>
    <row r="52" spans="2:3" ht="19.95" customHeight="1" x14ac:dyDescent="0.3">
      <c r="B52" s="16" t="s">
        <v>67</v>
      </c>
      <c r="C52" s="18"/>
    </row>
    <row r="53" spans="2:3" ht="19.95" customHeight="1" x14ac:dyDescent="0.3">
      <c r="B53" s="16" t="s">
        <v>68</v>
      </c>
      <c r="C53" s="18"/>
    </row>
    <row r="54" spans="2:3" ht="19.95" customHeight="1" x14ac:dyDescent="0.3">
      <c r="B54" s="16" t="s">
        <v>90</v>
      </c>
      <c r="C54" s="18"/>
    </row>
    <row r="55" spans="2:3" ht="19.95" customHeight="1" x14ac:dyDescent="0.3">
      <c r="B55" s="16" t="s">
        <v>69</v>
      </c>
      <c r="C55" s="18"/>
    </row>
    <row r="58" spans="2:3" x14ac:dyDescent="0.3">
      <c r="B58" s="6" t="s">
        <v>70</v>
      </c>
      <c r="C58" s="5"/>
    </row>
    <row r="59" spans="2:3" x14ac:dyDescent="0.3">
      <c r="B59" s="15" t="s">
        <v>84</v>
      </c>
      <c r="C59" s="15" t="s">
        <v>110</v>
      </c>
    </row>
    <row r="60" spans="2:3" ht="19.95" customHeight="1" x14ac:dyDescent="0.3">
      <c r="B60" s="21">
        <v>33100</v>
      </c>
      <c r="C60" s="19" t="s">
        <v>92</v>
      </c>
    </row>
    <row r="61" spans="2:3" ht="19.95" customHeight="1" x14ac:dyDescent="0.3">
      <c r="B61" s="21">
        <v>36526</v>
      </c>
      <c r="C61" s="18"/>
    </row>
    <row r="62" spans="2:3" ht="19.95" customHeight="1" x14ac:dyDescent="0.3">
      <c r="B62" s="21">
        <v>31106</v>
      </c>
      <c r="C62" s="18"/>
    </row>
    <row r="63" spans="2:3" ht="19.95" customHeight="1" x14ac:dyDescent="0.3">
      <c r="B63" s="21">
        <v>45270</v>
      </c>
      <c r="C63" s="18"/>
    </row>
    <row r="64" spans="2:3" ht="19.95" customHeight="1" x14ac:dyDescent="0.3">
      <c r="B64" s="21">
        <v>35885</v>
      </c>
      <c r="C64" s="18"/>
    </row>
    <row r="67" spans="2:3" x14ac:dyDescent="0.3">
      <c r="B67" s="6" t="s">
        <v>71</v>
      </c>
      <c r="C67" s="5"/>
    </row>
    <row r="68" spans="2:3" x14ac:dyDescent="0.3">
      <c r="B68" s="15" t="s">
        <v>84</v>
      </c>
      <c r="C68" s="15" t="s">
        <v>111</v>
      </c>
    </row>
    <row r="69" spans="2:3" ht="19.95" customHeight="1" x14ac:dyDescent="0.3">
      <c r="B69" s="16">
        <v>1500</v>
      </c>
      <c r="C69" s="19" t="s">
        <v>93</v>
      </c>
    </row>
    <row r="70" spans="2:3" ht="19.95" customHeight="1" x14ac:dyDescent="0.3">
      <c r="B70" s="16">
        <v>25500</v>
      </c>
      <c r="C70" s="19"/>
    </row>
    <row r="71" spans="2:3" ht="19.95" customHeight="1" x14ac:dyDescent="0.3">
      <c r="B71" s="16">
        <v>150000</v>
      </c>
      <c r="C71" s="19"/>
    </row>
    <row r="72" spans="2:3" ht="19.95" customHeight="1" x14ac:dyDescent="0.3">
      <c r="B72" s="16">
        <v>1250500</v>
      </c>
      <c r="C72" s="19"/>
    </row>
    <row r="73" spans="2:3" ht="19.95" customHeight="1" x14ac:dyDescent="0.3">
      <c r="B73" s="16">
        <v>99</v>
      </c>
      <c r="C73" s="19"/>
    </row>
    <row r="76" spans="2:3" x14ac:dyDescent="0.3">
      <c r="B76" s="6" t="s">
        <v>72</v>
      </c>
      <c r="C76" s="5"/>
    </row>
    <row r="77" spans="2:3" x14ac:dyDescent="0.3">
      <c r="B77" s="15" t="s">
        <v>84</v>
      </c>
      <c r="C77" s="15" t="s">
        <v>113</v>
      </c>
    </row>
    <row r="78" spans="2:3" ht="19.95" customHeight="1" x14ac:dyDescent="0.3">
      <c r="B78" s="16">
        <v>8</v>
      </c>
      <c r="C78" s="19" t="s">
        <v>94</v>
      </c>
    </row>
    <row r="79" spans="2:3" ht="19.95" customHeight="1" x14ac:dyDescent="0.3">
      <c r="B79" s="16">
        <v>12</v>
      </c>
      <c r="C79" s="19"/>
    </row>
    <row r="80" spans="2:3" ht="19.95" customHeight="1" x14ac:dyDescent="0.3">
      <c r="B80" s="16">
        <v>16</v>
      </c>
      <c r="C80" s="19"/>
    </row>
    <row r="81" spans="2:3" ht="19.95" customHeight="1" x14ac:dyDescent="0.3">
      <c r="B81" s="16">
        <v>6</v>
      </c>
      <c r="C81" s="19"/>
    </row>
    <row r="82" spans="2:3" ht="19.95" customHeight="1" x14ac:dyDescent="0.3">
      <c r="B82" s="16">
        <v>20</v>
      </c>
      <c r="C82" s="19"/>
    </row>
    <row r="85" spans="2:3" x14ac:dyDescent="0.3">
      <c r="B85" s="6" t="s">
        <v>73</v>
      </c>
      <c r="C85" s="5"/>
    </row>
    <row r="86" spans="2:3" x14ac:dyDescent="0.3">
      <c r="B86" s="15" t="s">
        <v>84</v>
      </c>
      <c r="C86" s="15" t="s">
        <v>112</v>
      </c>
    </row>
    <row r="87" spans="2:3" ht="19.95" customHeight="1" x14ac:dyDescent="0.3">
      <c r="B87" s="16" t="s">
        <v>95</v>
      </c>
      <c r="C87" s="19" t="s">
        <v>99</v>
      </c>
    </row>
    <row r="88" spans="2:3" ht="19.95" customHeight="1" x14ac:dyDescent="0.3">
      <c r="B88" s="16" t="s">
        <v>96</v>
      </c>
      <c r="C88" s="18"/>
    </row>
    <row r="89" spans="2:3" ht="19.95" customHeight="1" x14ac:dyDescent="0.3">
      <c r="B89" s="16" t="s">
        <v>97</v>
      </c>
      <c r="C89" s="18"/>
    </row>
    <row r="90" spans="2:3" ht="19.95" customHeight="1" x14ac:dyDescent="0.3">
      <c r="B90" s="16" t="s">
        <v>98</v>
      </c>
      <c r="C90" s="18"/>
    </row>
    <row r="91" spans="2:3" ht="19.95" customHeight="1" x14ac:dyDescent="0.3">
      <c r="B91" s="16" t="s">
        <v>74</v>
      </c>
      <c r="C91" s="18"/>
    </row>
    <row r="94" spans="2:3" x14ac:dyDescent="0.3">
      <c r="B94" s="6" t="s">
        <v>75</v>
      </c>
      <c r="C94" s="5"/>
    </row>
    <row r="95" spans="2:3" x14ac:dyDescent="0.3">
      <c r="B95" s="15" t="s">
        <v>84</v>
      </c>
      <c r="C95" s="15" t="s">
        <v>114</v>
      </c>
    </row>
    <row r="96" spans="2:3" ht="19.95" customHeight="1" x14ac:dyDescent="0.3">
      <c r="B96" s="16" t="s">
        <v>19</v>
      </c>
      <c r="C96" s="19" t="s">
        <v>102</v>
      </c>
    </row>
    <row r="97" spans="2:3" ht="19.95" customHeight="1" x14ac:dyDescent="0.3">
      <c r="B97" s="16" t="s">
        <v>100</v>
      </c>
      <c r="C97" s="18"/>
    </row>
    <row r="98" spans="2:3" ht="19.95" customHeight="1" x14ac:dyDescent="0.3">
      <c r="B98" s="16" t="s">
        <v>101</v>
      </c>
      <c r="C98" s="18"/>
    </row>
    <row r="99" spans="2:3" ht="19.95" customHeight="1" x14ac:dyDescent="0.3">
      <c r="B99" s="16" t="s">
        <v>76</v>
      </c>
      <c r="C99" s="18"/>
    </row>
    <row r="100" spans="2:3" ht="19.95" customHeight="1" x14ac:dyDescent="0.3">
      <c r="B100" s="16" t="s">
        <v>77</v>
      </c>
      <c r="C100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C40A-02F4-4D8C-B531-6BAE97107993}">
  <sheetPr codeName="Sheet2"/>
  <dimension ref="B2:F29"/>
  <sheetViews>
    <sheetView showGridLines="0" topLeftCell="A2" workbookViewId="0">
      <selection activeCell="D1" sqref="D1"/>
    </sheetView>
  </sheetViews>
  <sheetFormatPr defaultRowHeight="14.4" x14ac:dyDescent="0.3"/>
  <cols>
    <col min="2" max="2" width="25.77734375" customWidth="1"/>
    <col min="3" max="3" width="35.77734375" customWidth="1"/>
    <col min="4" max="4" width="40.77734375" customWidth="1"/>
    <col min="6" max="6" width="45.77734375" customWidth="1"/>
  </cols>
  <sheetData>
    <row r="2" spans="2:6" ht="21" x14ac:dyDescent="0.4">
      <c r="B2" s="1" t="s">
        <v>0</v>
      </c>
    </row>
    <row r="4" spans="2:6" ht="25.05" customHeight="1" x14ac:dyDescent="0.3">
      <c r="B4" s="7" t="s">
        <v>1</v>
      </c>
      <c r="C4" s="7" t="s">
        <v>2</v>
      </c>
      <c r="D4" s="7" t="s">
        <v>3</v>
      </c>
      <c r="F4" s="11" t="s">
        <v>27</v>
      </c>
    </row>
    <row r="5" spans="2:6" ht="16.8" x14ac:dyDescent="0.3">
      <c r="B5" s="13" t="s">
        <v>34</v>
      </c>
      <c r="C5" s="8" t="s">
        <v>4</v>
      </c>
      <c r="D5" s="10" t="str" cm="1">
        <f t="array" ref="D5">[1]!XL_ExtractText(C5)</f>
        <v>Room   Hotel</v>
      </c>
      <c r="F5" s="12" t="s">
        <v>28</v>
      </c>
    </row>
    <row r="6" spans="2:6" ht="16.8" x14ac:dyDescent="0.3">
      <c r="B6" s="8" t="e">
        <f>[1]!XL_ExtractNumbers</f>
        <v>#NAME?</v>
      </c>
      <c r="C6" s="8" t="s">
        <v>5</v>
      </c>
      <c r="D6" s="10" t="s">
        <v>6</v>
      </c>
      <c r="F6" s="12" t="s">
        <v>29</v>
      </c>
    </row>
    <row r="7" spans="2:6" ht="16.8" x14ac:dyDescent="0.3">
      <c r="B7" s="8" t="e">
        <f>[1]!XL_ExtractEmails</f>
        <v>#NAME?</v>
      </c>
      <c r="C7" s="8" t="s">
        <v>7</v>
      </c>
      <c r="D7" s="10" t="s">
        <v>8</v>
      </c>
      <c r="F7" s="12" t="s">
        <v>30</v>
      </c>
    </row>
    <row r="8" spans="2:6" ht="16.8" x14ac:dyDescent="0.3">
      <c r="B8" s="8" t="e">
        <f>[1]!XL_MobileNumberOnly</f>
        <v>#NAME?</v>
      </c>
      <c r="C8" s="8" t="s">
        <v>9</v>
      </c>
      <c r="D8" s="10" t="s">
        <v>10</v>
      </c>
      <c r="F8" s="12" t="s">
        <v>31</v>
      </c>
    </row>
    <row r="9" spans="2:6" ht="16.8" x14ac:dyDescent="0.3">
      <c r="B9" s="8" t="e">
        <f>[1]!XL_ExtractURL</f>
        <v>#NAME?</v>
      </c>
      <c r="C9" s="8" t="s">
        <v>11</v>
      </c>
      <c r="D9" s="10" t="s">
        <v>12</v>
      </c>
      <c r="F9" s="12"/>
    </row>
    <row r="10" spans="2:6" x14ac:dyDescent="0.3">
      <c r="F10" s="12" t="s">
        <v>32</v>
      </c>
    </row>
    <row r="11" spans="2:6" x14ac:dyDescent="0.3">
      <c r="F11" s="12" t="s">
        <v>33</v>
      </c>
    </row>
    <row r="12" spans="2:6" ht="21" x14ac:dyDescent="0.4">
      <c r="B12" s="2" t="s">
        <v>13</v>
      </c>
      <c r="F12" s="12"/>
    </row>
    <row r="14" spans="2:6" ht="25.05" customHeight="1" x14ac:dyDescent="0.3">
      <c r="B14" s="7" t="s">
        <v>1</v>
      </c>
      <c r="C14" s="7" t="s">
        <v>14</v>
      </c>
      <c r="D14" s="7" t="s">
        <v>3</v>
      </c>
    </row>
    <row r="15" spans="2:6" ht="16.8" x14ac:dyDescent="0.3">
      <c r="B15" s="8" t="e">
        <f>[1]!XL_RemoveSpecialChars</f>
        <v>#NAME?</v>
      </c>
      <c r="C15" s="8" t="s">
        <v>15</v>
      </c>
      <c r="D15" s="10" t="s">
        <v>16</v>
      </c>
    </row>
    <row r="16" spans="2:6" ht="16.8" x14ac:dyDescent="0.3">
      <c r="B16" s="8" t="e">
        <f>[1]!XL_AddSpace</f>
        <v>#NAME?</v>
      </c>
      <c r="C16" s="8" t="s">
        <v>17</v>
      </c>
      <c r="D16" s="10" t="s">
        <v>18</v>
      </c>
    </row>
    <row r="17" spans="2:4" ht="16.8" x14ac:dyDescent="0.3">
      <c r="B17" s="8" t="e">
        <f>[1]!XL_ReverseName</f>
        <v>#NAME?</v>
      </c>
      <c r="C17" s="8" t="s">
        <v>19</v>
      </c>
      <c r="D17" s="10" t="s">
        <v>20</v>
      </c>
    </row>
    <row r="20" spans="2:4" ht="21" x14ac:dyDescent="0.4">
      <c r="B20" s="3" t="s">
        <v>21</v>
      </c>
    </row>
    <row r="22" spans="2:4" ht="25.05" customHeight="1" x14ac:dyDescent="0.3">
      <c r="B22" s="7" t="s">
        <v>1</v>
      </c>
      <c r="C22" s="7" t="s">
        <v>14</v>
      </c>
      <c r="D22" s="7" t="s">
        <v>3</v>
      </c>
    </row>
    <row r="23" spans="2:4" ht="16.8" x14ac:dyDescent="0.3">
      <c r="B23" s="8" t="e">
        <f>[1]!XL_AgeFromDOB</f>
        <v>#NAME?</v>
      </c>
      <c r="C23" s="9">
        <v>34926</v>
      </c>
      <c r="D23" s="10" t="s">
        <v>22</v>
      </c>
    </row>
    <row r="24" spans="2:4" ht="16.8" x14ac:dyDescent="0.3">
      <c r="B24" s="8" t="e">
        <f>[1]!XL_ConvertToWords</f>
        <v>#NAME?</v>
      </c>
      <c r="C24" s="8">
        <v>12500</v>
      </c>
      <c r="D24" s="10" t="s">
        <v>23</v>
      </c>
    </row>
    <row r="26" spans="2:4" ht="21" x14ac:dyDescent="0.4">
      <c r="B26" s="4" t="s">
        <v>24</v>
      </c>
    </row>
    <row r="28" spans="2:4" ht="25.05" customHeight="1" x14ac:dyDescent="0.3">
      <c r="B28" s="7" t="s">
        <v>1</v>
      </c>
      <c r="C28" s="7" t="s">
        <v>25</v>
      </c>
      <c r="D28" s="7" t="s">
        <v>3</v>
      </c>
    </row>
    <row r="29" spans="2:4" ht="16.8" x14ac:dyDescent="0.3">
      <c r="B29" s="8" t="e">
        <f>[1]!XL_GeneratePassword</f>
        <v>#NAME?</v>
      </c>
      <c r="C29" s="8">
        <v>12</v>
      </c>
      <c r="D29" s="10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G12" sqref="G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Pro_Formula_Lab_0121_25</vt:lpstr>
      <vt:lpstr>Formula_Lab_0121_28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2015-06-05T18:17:20Z</dcterms:created>
  <dcterms:modified xsi:type="dcterms:W3CDTF">2026-01-21T09:44:43Z</dcterms:modified>
</cp:coreProperties>
</file>